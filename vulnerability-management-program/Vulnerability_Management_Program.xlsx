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lnerability Register" sheetId="1" state="visible" r:id="rId3"/>
    <sheet name="SLA Policy" sheetId="2" state="visible" r:id="rId4"/>
    <sheet name="Dashboard" sheetId="3" state="visible" r:id="rId5"/>
    <sheet name="Asset Inventory" sheetId="4" state="visible" r:id="rId6"/>
    <sheet name="Remediation Tracker" sheetId="5" state="visible" r:id="rId7"/>
    <sheet name="Remediation Decision Tree" sheetId="6" state="visible" r:id="rId8"/>
    <sheet name="Patch Management Log" sheetId="7" state="visible" r:id="rId9"/>
    <sheet name="Compensating Controls" sheetId="8" state="visible" r:id="rId10"/>
    <sheet name="Risk Acceptance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<sst xmlns="http://schemas.openxmlformats.org/spreadsheetml/2006/main" count="697" uniqueCount="406">
  <si>
    <t xml:space="preserve">VULNERABILITY MANAGEMENT REGISTER</t>
  </si>
  <si>
    <t xml:space="preserve">Track every vulnerability from discovery through remediation. One row per finding.</t>
  </si>
  <si>
    <t xml:space="preserve">Vuln ID</t>
  </si>
  <si>
    <t xml:space="preserve">Scan Date</t>
  </si>
  <si>
    <t xml:space="preserve">Asset / Host</t>
  </si>
  <si>
    <t xml:space="preserve">CVE</t>
  </si>
  <si>
    <t xml:space="preserve">Vulnerability</t>
  </si>
  <si>
    <t xml:space="preserve">Severity</t>
  </si>
  <si>
    <t xml:space="preserve">CVSS Score</t>
  </si>
  <si>
    <t xml:space="preserve">Remediation</t>
  </si>
  <si>
    <t xml:space="preserve">Owner</t>
  </si>
  <si>
    <t xml:space="preserve">SLA Due Date</t>
  </si>
  <si>
    <t xml:space="preserve">Status</t>
  </si>
  <si>
    <t xml:space="preserve">Date Closed</t>
  </si>
  <si>
    <t xml:space="preserve">VLN-001</t>
  </si>
  <si>
    <t xml:space="preserve">2025-04-01</t>
  </si>
  <si>
    <t xml:space="preserve">192.168.1.10</t>
  </si>
  <si>
    <t xml:space="preserve">CVE-2021-44228</t>
  </si>
  <si>
    <t xml:space="preserve">Apache Log4j RCE (Log4Shell)</t>
  </si>
  <si>
    <t xml:space="preserve">Critical</t>
  </si>
  <si>
    <t xml:space="preserve">10.0</t>
  </si>
  <si>
    <t xml:space="preserve">Update Log4j to 2.17.1. Apply WAF rules immediately.</t>
  </si>
  <si>
    <t xml:space="preserve">IT Security</t>
  </si>
  <si>
    <t xml:space="preserve">2025-04-08</t>
  </si>
  <si>
    <t xml:space="preserve">Open</t>
  </si>
  <si>
    <t xml:space="preserve">VLN-002</t>
  </si>
  <si>
    <t xml:space="preserve">CVE-2021-34527</t>
  </si>
  <si>
    <t xml:space="preserve">Windows Print Spooler RCE (PrintNightmare)</t>
  </si>
  <si>
    <t xml:space="preserve">8.8</t>
  </si>
  <si>
    <t xml:space="preserve">Apply KB5004945. Disable Print Spooler if not required.</t>
  </si>
  <si>
    <t xml:space="preserve">IT Operations</t>
  </si>
  <si>
    <t xml:space="preserve">In Progress</t>
  </si>
  <si>
    <t xml:space="preserve">VLN-003</t>
  </si>
  <si>
    <t xml:space="preserve">192.168.1.25</t>
  </si>
  <si>
    <t xml:space="preserve">CVE-2022-26134</t>
  </si>
  <si>
    <t xml:space="preserve">Atlassian Confluence OGNL Injection</t>
  </si>
  <si>
    <t xml:space="preserve">9.8</t>
  </si>
  <si>
    <t xml:space="preserve">Upgrade Confluence to 7.4.17 immediately.</t>
  </si>
  <si>
    <t xml:space="preserve">DevOps</t>
  </si>
  <si>
    <t xml:space="preserve">Remediated</t>
  </si>
  <si>
    <t xml:space="preserve">2025-04-03</t>
  </si>
  <si>
    <t xml:space="preserve">VLN-004</t>
  </si>
  <si>
    <t xml:space="preserve">192.168.1.15</t>
  </si>
  <si>
    <t xml:space="preserve">CVE-2023-23397</t>
  </si>
  <si>
    <t xml:space="preserve">Microsoft Outlook Privilege Escalation</t>
  </si>
  <si>
    <t xml:space="preserve">High</t>
  </si>
  <si>
    <t xml:space="preserve">Apply March 2023 Microsoft security update.</t>
  </si>
  <si>
    <t xml:space="preserve">2025-04-15</t>
  </si>
  <si>
    <t xml:space="preserve">VLN-005</t>
  </si>
  <si>
    <t xml:space="preserve">192.168.1.20</t>
  </si>
  <si>
    <t xml:space="preserve">CVE-2021-26855</t>
  </si>
  <si>
    <t xml:space="preserve">Exchange Server SSRF (ProxyLogon)</t>
  </si>
  <si>
    <t xml:space="preserve">9.1</t>
  </si>
  <si>
    <t xml:space="preserve">Apply KB5000871. Migrate to Exchange Online if possible.</t>
  </si>
  <si>
    <t xml:space="preserve">VLN-006</t>
  </si>
  <si>
    <t xml:space="preserve">192.168.1.30</t>
  </si>
  <si>
    <t xml:space="preserve">CVE-2022-22965</t>
  </si>
  <si>
    <t xml:space="preserve">Spring Framework RCE (Spring4Shell)</t>
  </si>
  <si>
    <t xml:space="preserve">Update Spring Framework to 5.3.18 or 5.2.20.</t>
  </si>
  <si>
    <t xml:space="preserve">VLN-007</t>
  </si>
  <si>
    <t xml:space="preserve">CVE-2019-0708</t>
  </si>
  <si>
    <t xml:space="preserve">Windows RDS RCE (BlueKeep)</t>
  </si>
  <si>
    <t xml:space="preserve">Apply KB4499175. Disable RDP if not required.</t>
  </si>
  <si>
    <t xml:space="preserve">2025-04-02</t>
  </si>
  <si>
    <t xml:space="preserve">VLN-008</t>
  </si>
  <si>
    <t xml:space="preserve">192.168.1.40</t>
  </si>
  <si>
    <t xml:space="preserve">CVE-2021-21985</t>
  </si>
  <si>
    <t xml:space="preserve">VMware vCenter RCE</t>
  </si>
  <si>
    <t xml:space="preserve">Update vCenter to 6.7 U3n or 7.0 U2b.</t>
  </si>
  <si>
    <t xml:space="preserve">Infrastructure</t>
  </si>
  <si>
    <t xml:space="preserve">VLN-009</t>
  </si>
  <si>
    <t xml:space="preserve">CVE-2020-1472</t>
  </si>
  <si>
    <t xml:space="preserve">Netlogon Elevation of Privilege (Zerologon)</t>
  </si>
  <si>
    <t xml:space="preserve">Apply August 2020 update. Enable enforcement mode.</t>
  </si>
  <si>
    <t xml:space="preserve">2025-04-04</t>
  </si>
  <si>
    <t xml:space="preserve">VLN-010</t>
  </si>
  <si>
    <t xml:space="preserve">192.168.1.50</t>
  </si>
  <si>
    <t xml:space="preserve">CVE-2021-26084</t>
  </si>
  <si>
    <t xml:space="preserve">Medium</t>
  </si>
  <si>
    <t xml:space="preserve">Upgrade Confluence to 7.13.0 or apply workaround.</t>
  </si>
  <si>
    <t xml:space="preserve">2025-05-01</t>
  </si>
  <si>
    <t xml:space="preserve">VLN-011</t>
  </si>
  <si>
    <t xml:space="preserve">192.168.1.55</t>
  </si>
  <si>
    <t xml:space="preserve">CVE-2022-0847</t>
  </si>
  <si>
    <t xml:space="preserve">Linux Kernel Privilege Escalation (Dirty Pipe)</t>
  </si>
  <si>
    <t xml:space="preserve">7.8</t>
  </si>
  <si>
    <t xml:space="preserve">Update kernel to 5.16.11 or later.</t>
  </si>
  <si>
    <t xml:space="preserve">VLN-012</t>
  </si>
  <si>
    <t xml:space="preserve">192.168.1.60</t>
  </si>
  <si>
    <t xml:space="preserve">CVE-2021-3156</t>
  </si>
  <si>
    <t xml:space="preserve">Sudo Heap Buffer Overflow (Baron Samedit)</t>
  </si>
  <si>
    <t xml:space="preserve">Update sudo to 1.9.5p2 or later.</t>
  </si>
  <si>
    <t xml:space="preserve">VLN-013</t>
  </si>
  <si>
    <t xml:space="preserve">CVE-2020-0601</t>
  </si>
  <si>
    <t xml:space="preserve">Windows CryptoAPI Spoofing</t>
  </si>
  <si>
    <t xml:space="preserve">8.1</t>
  </si>
  <si>
    <t xml:space="preserve">Apply January 2020 security update.</t>
  </si>
  <si>
    <t xml:space="preserve">2025-04-05</t>
  </si>
  <si>
    <t xml:space="preserve">VLN-014</t>
  </si>
  <si>
    <t xml:space="preserve">192.168.1.70</t>
  </si>
  <si>
    <t xml:space="preserve">CVE-2019-11043</t>
  </si>
  <si>
    <t xml:space="preserve">PHP-FPM RCE</t>
  </si>
  <si>
    <t xml:space="preserve">Low</t>
  </si>
  <si>
    <t xml:space="preserve">Update PHP to 7.1.33 or later.</t>
  </si>
  <si>
    <t xml:space="preserve">2025-06-01</t>
  </si>
  <si>
    <t xml:space="preserve">Accepted</t>
  </si>
  <si>
    <t xml:space="preserve">VLN-015</t>
  </si>
  <si>
    <t xml:space="preserve">192.168.1.80</t>
  </si>
  <si>
    <t xml:space="preserve">CVE-2020-8597</t>
  </si>
  <si>
    <t xml:space="preserve">PPP Daemon Buffer Overflow</t>
  </si>
  <si>
    <t xml:space="preserve">Update pppd to 2.4.8 or later.</t>
  </si>
  <si>
    <t xml:space="preserve">VULNERABILITY MANAGEMENT SLA POLICY</t>
  </si>
  <si>
    <t xml:space="preserve">Defines remediation timeframes by severity. Apply consistently across all findings.</t>
  </si>
  <si>
    <t xml:space="preserve">CVSS Range</t>
  </si>
  <si>
    <t xml:space="preserve">Remediation SLA</t>
  </si>
  <si>
    <t xml:space="preserve">Required Action</t>
  </si>
  <si>
    <t xml:space="preserve">Escalation</t>
  </si>
  <si>
    <t xml:space="preserve">Examples</t>
  </si>
  <si>
    <t xml:space="preserve">9.0–10.0</t>
  </si>
  <si>
    <t xml:space="preserve">24–48 hours</t>
  </si>
  <si>
    <t xml:space="preserve">Immediate containment. Emergency patch or compensating control within 24hrs. CISO notified.</t>
  </si>
  <si>
    <t xml:space="preserve">Escalate to CISO and leadership immediately. Incident response may apply.</t>
  </si>
  <si>
    <t xml:space="preserve">Log4Shell, ProxyLogon, EternalBlue</t>
  </si>
  <si>
    <t xml:space="preserve">7.0–8.9</t>
  </si>
  <si>
    <t xml:space="preserve">7–14 days</t>
  </si>
  <si>
    <t xml:space="preserve">Patch within SLA. Compensating controls if patch unavailable. Weekly progress update.</t>
  </si>
  <si>
    <t xml:space="preserve">Escalate to security manager if not resolved within 7 days.</t>
  </si>
  <si>
    <t xml:space="preserve">PrintNightmare, Zerologon, Spring4Shell</t>
  </si>
  <si>
    <t xml:space="preserve">4.0–6.9</t>
  </si>
  <si>
    <t xml:space="preserve">30 days</t>
  </si>
  <si>
    <t xml:space="preserve">Patch within 30 days. Track in vulnerability register. Include in monthly report.</t>
  </si>
  <si>
    <t xml:space="preserve">Escalate to IT manager if not resolved within 30 days.</t>
  </si>
  <si>
    <t xml:space="preserve">Dirty Pipe, Baron Samedit, CryptoAPI</t>
  </si>
  <si>
    <t xml:space="preserve">0.1–3.9</t>
  </si>
  <si>
    <t xml:space="preserve">90 days</t>
  </si>
  <si>
    <t xml:space="preserve">Patch within 90 days or accept risk formally. Document decision.</t>
  </si>
  <si>
    <t xml:space="preserve">Review at quarterly vulnerability management meeting.</t>
  </si>
  <si>
    <t xml:space="preserve">Minor config issues, outdated non-critical software</t>
  </si>
  <si>
    <t xml:space="preserve">Info</t>
  </si>
  <si>
    <t xml:space="preserve">N/A</t>
  </si>
  <si>
    <t xml:space="preserve">Best effort</t>
  </si>
  <si>
    <t xml:space="preserve">Informational only. No remediation required. Review and document.</t>
  </si>
  <si>
    <t xml:space="preserve">No escalation required.</t>
  </si>
  <si>
    <t xml:space="preserve">Open ports, banners, version disclosure</t>
  </si>
  <si>
    <t xml:space="preserve">VULNERABILITY MANAGEMENT DASHBOARD</t>
  </si>
  <si>
    <t xml:space="preserve">Executive summary — update after every scan cycle.</t>
  </si>
  <si>
    <t xml:space="preserve">CURRENT SCAN SUMMARY</t>
  </si>
  <si>
    <t xml:space="preserve">Total vulnerabilities</t>
  </si>
  <si>
    <t xml:space="preserve">Critical open</t>
  </si>
  <si>
    <t xml:space="preserve">High open</t>
  </si>
  <si>
    <t xml:space="preserve">Medium open</t>
  </si>
  <si>
    <t xml:space="preserve">Low open</t>
  </si>
  <si>
    <t xml:space="preserve">Overdue</t>
  </si>
  <si>
    <t xml:space="preserve">SEVERITY BREAKDOWN BY STATUS</t>
  </si>
  <si>
    <t xml:space="preserve">Total</t>
  </si>
  <si>
    <t xml:space="preserve">False Positive</t>
  </si>
  <si>
    <t xml:space="preserve">% Remediated</t>
  </si>
  <si>
    <t xml:space="preserve">SCAN HISTORY &amp; TREND</t>
  </si>
  <si>
    <t xml:space="preserve">Notes</t>
  </si>
  <si>
    <t xml:space="preserve">2025-01-01</t>
  </si>
  <si>
    <t xml:space="preserve">5</t>
  </si>
  <si>
    <t xml:space="preserve">12</t>
  </si>
  <si>
    <t xml:space="preserve">23</t>
  </si>
  <si>
    <t xml:space="preserve">8</t>
  </si>
  <si>
    <t xml:space="preserve">14</t>
  </si>
  <si>
    <t xml:space="preserve">62</t>
  </si>
  <si>
    <t xml:space="preserve">Baseline scan</t>
  </si>
  <si>
    <t xml:space="preserve">2025-02-01</t>
  </si>
  <si>
    <t xml:space="preserve">3</t>
  </si>
  <si>
    <t xml:space="preserve">9</t>
  </si>
  <si>
    <t xml:space="preserve">20</t>
  </si>
  <si>
    <t xml:space="preserve">7</t>
  </si>
  <si>
    <t xml:space="preserve">53</t>
  </si>
  <si>
    <t xml:space="preserve">Post-patch cycle 1</t>
  </si>
  <si>
    <t xml:space="preserve">2025-03-01</t>
  </si>
  <si>
    <t xml:space="preserve">18</t>
  </si>
  <si>
    <t xml:space="preserve">6</t>
  </si>
  <si>
    <t xml:space="preserve">49</t>
  </si>
  <si>
    <t xml:space="preserve">Post-patch cycle 2</t>
  </si>
  <si>
    <t xml:space="preserve">4</t>
  </si>
  <si>
    <t xml:space="preserve">2</t>
  </si>
  <si>
    <t xml:space="preserve">1</t>
  </si>
  <si>
    <t xml:space="preserve">15</t>
  </si>
  <si>
    <t xml:space="preserve">Current scan</t>
  </si>
  <si>
    <t xml:space="preserve">ASSET INVENTORY — SCAN SCOPE</t>
  </si>
  <si>
    <t xml:space="preserve">Define which assets are in scope for vulnerability scanning. Review quarterly.</t>
  </si>
  <si>
    <t xml:space="preserve">Asset ID</t>
  </si>
  <si>
    <t xml:space="preserve">Hostname / IP</t>
  </si>
  <si>
    <t xml:space="preserve">Asset Type</t>
  </si>
  <si>
    <t xml:space="preserve">OS / Platform</t>
  </si>
  <si>
    <t xml:space="preserve">Business Owner</t>
  </si>
  <si>
    <t xml:space="preserve">Environment</t>
  </si>
  <si>
    <t xml:space="preserve">Criticality</t>
  </si>
  <si>
    <t xml:space="preserve">Last Scanned</t>
  </si>
  <si>
    <t xml:space="preserve">AST-001</t>
  </si>
  <si>
    <t xml:space="preserve">Server</t>
  </si>
  <si>
    <t xml:space="preserve">Windows Server 2019</t>
  </si>
  <si>
    <t xml:space="preserve">Production</t>
  </si>
  <si>
    <t xml:space="preserve">AST-002</t>
  </si>
  <si>
    <t xml:space="preserve">Windows Server 2016</t>
  </si>
  <si>
    <t xml:space="preserve">AST-003</t>
  </si>
  <si>
    <t xml:space="preserve">AST-004</t>
  </si>
  <si>
    <t xml:space="preserve">Ubuntu 20.04 LTS</t>
  </si>
  <si>
    <t xml:space="preserve">AST-005</t>
  </si>
  <si>
    <t xml:space="preserve">CentOS 7</t>
  </si>
  <si>
    <t xml:space="preserve">AST-006</t>
  </si>
  <si>
    <t xml:space="preserve">Virtual</t>
  </si>
  <si>
    <t xml:space="preserve">VMware ESXi 7.0</t>
  </si>
  <si>
    <t xml:space="preserve">AST-007</t>
  </si>
  <si>
    <t xml:space="preserve">Ubuntu 18.04 LTS</t>
  </si>
  <si>
    <t xml:space="preserve">Staging</t>
  </si>
  <si>
    <t xml:space="preserve">AST-008</t>
  </si>
  <si>
    <t xml:space="preserve">Debian 10</t>
  </si>
  <si>
    <t xml:space="preserve">AST-009</t>
  </si>
  <si>
    <t xml:space="preserve">AST-010</t>
  </si>
  <si>
    <t xml:space="preserve">CentOS 8</t>
  </si>
  <si>
    <t xml:space="preserve">AST-011</t>
  </si>
  <si>
    <t xml:space="preserve">Network</t>
  </si>
  <si>
    <t xml:space="preserve">Linux (pppd)</t>
  </si>
  <si>
    <t xml:space="preserve">REMEDIATION ACTION TRACKER</t>
  </si>
  <si>
    <t xml:space="preserve">Track every remediation action with owner, deadline, and evidence of fix.</t>
  </si>
  <si>
    <t xml:space="preserve">Action ID</t>
  </si>
  <si>
    <t xml:space="preserve">Asset</t>
  </si>
  <si>
    <t xml:space="preserve">Action Required</t>
  </si>
  <si>
    <t xml:space="preserve">Priority</t>
  </si>
  <si>
    <t xml:space="preserve">Due Date</t>
  </si>
  <si>
    <t xml:space="preserve">Evidence / Notes</t>
  </si>
  <si>
    <t xml:space="preserve">REM-001</t>
  </si>
  <si>
    <t xml:space="preserve">Update Log4j to 2.17.1. Apply WAF blocking rules immediately.</t>
  </si>
  <si>
    <t xml:space="preserve">REM-002</t>
  </si>
  <si>
    <t xml:space="preserve">Apply KB5004945. Restart Print Spooler service after patch.</t>
  </si>
  <si>
    <t xml:space="preserve">Patch downloaded, testing in staging</t>
  </si>
  <si>
    <t xml:space="preserve">REM-003</t>
  </si>
  <si>
    <t xml:space="preserve">Upgrade Confluence to 7.4.17. Verified in staging first.</t>
  </si>
  <si>
    <t xml:space="preserve">Complete</t>
  </si>
  <si>
    <t xml:space="preserve">Upgraded April 3. Scan confirmed clean.</t>
  </si>
  <si>
    <t xml:space="preserve">REM-004</t>
  </si>
  <si>
    <t xml:space="preserve">Apply March 2023 Outlook update via WSUS.</t>
  </si>
  <si>
    <t xml:space="preserve">REM-005</t>
  </si>
  <si>
    <t xml:space="preserve">Apply KB5000871. Run EOMT.ps1 script post-patch.</t>
  </si>
  <si>
    <t xml:space="preserve">EOMT script run. Patch scheduled weekend.</t>
  </si>
  <si>
    <t xml:space="preserve">REM-006</t>
  </si>
  <si>
    <t xml:space="preserve">Apply KB4499175. Disable RDP on non-management hosts.</t>
  </si>
  <si>
    <t xml:space="preserve">Patched April 2. RDP disabled on 3 hosts.</t>
  </si>
  <si>
    <t xml:space="preserve">REM-007</t>
  </si>
  <si>
    <t xml:space="preserve">Apply August 2020 Netlogon patch. Enable enforcement mode.</t>
  </si>
  <si>
    <t xml:space="preserve">Patched April 4. Enforcement mode enabled.</t>
  </si>
  <si>
    <t xml:space="preserve">REM-008</t>
  </si>
  <si>
    <t xml:space="preserve">Upgrade Confluence to 7.13.0 or apply workaround script.</t>
  </si>
  <si>
    <t xml:space="preserve">REM-009</t>
  </si>
  <si>
    <t xml:space="preserve">Risk accepted — host isolated, no internet exposure.</t>
  </si>
  <si>
    <t xml:space="preserve">Risk acceptance signed by IT Manager 2025-04-01</t>
  </si>
  <si>
    <t xml:space="preserve">VULNERABILITY REMEDIATION DECISION TREE</t>
  </si>
  <si>
    <t xml:space="preserve">Follow this decision tree for every vulnerability. Every finding must result in: Patch · Compensating Control · Risk Acceptance</t>
  </si>
  <si>
    <t xml:space="preserve">STEP 1 — TRIAGE</t>
  </si>
  <si>
    <t xml:space="preserve">As soon as a vulnerability is discovered, answer these questions before deciding on a remediation path.</t>
  </si>
  <si>
    <t xml:space="preserve">#</t>
  </si>
  <si>
    <t xml:space="preserve">Question / Factor</t>
  </si>
  <si>
    <t xml:space="preserve">How to assess</t>
  </si>
  <si>
    <t xml:space="preserve">If YES / Action</t>
  </si>
  <si>
    <t xml:space="preserve">If NO / Alternative</t>
  </si>
  <si>
    <t xml:space="preserve">Q1</t>
  </si>
  <si>
    <t xml:space="preserve">Is this a false positive?</t>
  </si>
  <si>
    <t xml:space="preserve">Review the finding and cross-reference with the CVE database.</t>
  </si>
  <si>
    <t xml:space="preserve">False positive → mark as False Positive. Document evidence. No further action.</t>
  </si>
  <si>
    <t xml:space="preserve">Confirmed → proceed to Step 2</t>
  </si>
  <si>
    <t xml:space="preserve">Q2</t>
  </si>
  <si>
    <t xml:space="preserve">What is the CVSS score?</t>
  </si>
  <si>
    <t xml:space="preserve">Use CVSS as your starting severity. Critical ≥9.0 · High 7.0–8.9 · Medium 4.0–6.9 · Low &lt;4.0</t>
  </si>
  <si>
    <t xml:space="preserve">Sets your SLA clock. Critical: 48hrs · High: 14 days · Medium: 30 days · Low: 90 days</t>
  </si>
  <si>
    <t xml:space="preserve">Proceed to Step 3</t>
  </si>
  <si>
    <t xml:space="preserve">Q3</t>
  </si>
  <si>
    <t xml:space="preserve">Is the asset internet-facing?</t>
  </si>
  <si>
    <t xml:space="preserve">Internet-facing assets with exploitable vulns are highest priority — attackers can reach them directly.</t>
  </si>
  <si>
    <t xml:space="preserve">Internet-facing + Critical/High → escalate immediately. Treat as P1.</t>
  </si>
  <si>
    <t xml:space="preserve">Internal only → follow standard SLA</t>
  </si>
  <si>
    <t xml:space="preserve">STEP 2 — PRIORITISATION</t>
  </si>
  <si>
    <t xml:space="preserve">CVSS score alone is not enough. Apply these risk context factors to determine true priority.</t>
  </si>
  <si>
    <t xml:space="preserve">F1</t>
  </si>
  <si>
    <t xml:space="preserve">Known exploit in the wild?</t>
  </si>
  <si>
    <t xml:space="preserve">Check CISA KEV catalog and NVD. If exploited in wild, treat as one severity higher.</t>
  </si>
  <si>
    <t xml:space="preserve">In CISA KEV → treat as Critical regardless of CVSS score.</t>
  </si>
  <si>
    <t xml:space="preserve">No known exploit → use CVSS score</t>
  </si>
  <si>
    <t xml:space="preserve">F2</t>
  </si>
  <si>
    <t xml:space="preserve">What data does the asset hold?</t>
  </si>
  <si>
    <t xml:space="preserve">An asset holding PII, PCI, or PHI has higher effective risk than one holding internal data only.</t>
  </si>
  <si>
    <t xml:space="preserve">Sensitive data asset → increase priority by one level.</t>
  </si>
  <si>
    <t xml:space="preserve">Non-sensitive → standard priority</t>
  </si>
  <si>
    <t xml:space="preserve">F3</t>
  </si>
  <si>
    <t xml:space="preserve">What is the blast radius?</t>
  </si>
  <si>
    <t xml:space="preserve">Can the attacker pivot to other systems? Domain controllers and core infra have maximum blast radius.</t>
  </si>
  <si>
    <t xml:space="preserve">High blast radius → escalate to CISO. Include in IR planning.</t>
  </si>
  <si>
    <t xml:space="preserve">Isolated system → standard process</t>
  </si>
  <si>
    <t xml:space="preserve">STEP 3 — REMEDIATION PATH</t>
  </si>
  <si>
    <t xml:space="preserve">Every vulnerability must be assigned one of three remediation paths. Document the decision.</t>
  </si>
  <si>
    <t xml:space="preserve">PATH A</t>
  </si>
  <si>
    <t xml:space="preserve">Can a patch be applied?</t>
  </si>
  <si>
    <t xml:space="preserve">Check vendor advisory. Verify patch is tested and approved for your environment.</t>
  </si>
  <si>
    <t xml:space="preserve">Patch available + approved → PATCH. Schedule within SLA. Test in staging first.</t>
  </si>
  <si>
    <t xml:space="preserve">No patch available → go to Path B</t>
  </si>
  <si>
    <t xml:space="preserve">PATH B</t>
  </si>
  <si>
    <t xml:space="preserve">Can a compensating control be applied?</t>
  </si>
  <si>
    <t xml:space="preserve">If patching is not possible, apply a control that reduces exploitability or impact.</t>
  </si>
  <si>
    <t xml:space="preserve">WAF rule, network segmentation, disable service, restrict access, enforce MFA.</t>
  </si>
  <si>
    <t xml:space="preserve">No compensating control possible → go to Path C</t>
  </si>
  <si>
    <t xml:space="preserve">PATH C</t>
  </si>
  <si>
    <t xml:space="preserve">Can the risk be formally accepted?</t>
  </si>
  <si>
    <t xml:space="preserve">Valid only when patching and compensating controls are genuinely not feasible.</t>
  </si>
  <si>
    <t xml:space="preserve">Written justification + business owner sign-off + CISO approval + review date.</t>
  </si>
  <si>
    <t xml:space="preserve">Escalate — do not leave unaddressed</t>
  </si>
  <si>
    <t xml:space="preserve">STEP 4 — VERIFICATION</t>
  </si>
  <si>
    <t xml:space="preserve">Remediation is not complete until a re-scan confirms the vulnerability is gone.</t>
  </si>
  <si>
    <t xml:space="preserve">V1</t>
  </si>
  <si>
    <t xml:space="preserve">Re-scan the affected asset</t>
  </si>
  <si>
    <t xml:space="preserve">Run a targeted Nessus scan against the specific host after remediation.</t>
  </si>
  <si>
    <t xml:space="preserve">Vulnerability gone → mark Remediated. Record date closed and evidence.</t>
  </si>
  <si>
    <t xml:space="preserve">Vulnerability still present → remediation failed. Restart process.</t>
  </si>
  <si>
    <t xml:space="preserve">V2</t>
  </si>
  <si>
    <t xml:space="preserve">Verify compensating control</t>
  </si>
  <si>
    <t xml:space="preserve">For compensating controls, test the control actually mitigates the risk.</t>
  </si>
  <si>
    <t xml:space="preserve">Control effective → document test evidence. Mark status Remediated with note.</t>
  </si>
  <si>
    <t xml:space="preserve">Control not effective → escalate and find alternative.</t>
  </si>
  <si>
    <t xml:space="preserve">V3</t>
  </si>
  <si>
    <t xml:space="preserve">Update the register</t>
  </si>
  <si>
    <t xml:space="preserve">Every closure must be recorded with date closed and evidence. Auditors will ask.</t>
  </si>
  <si>
    <t xml:space="preserve">Required: re-scan result, patch ticket number, or compensating control test result.</t>
  </si>
  <si>
    <t xml:space="preserve">Missing evidence → finding remains Open for audit purposes.</t>
  </si>
  <si>
    <t xml:space="preserve">PATCH MANAGEMENT LOG</t>
  </si>
  <si>
    <t xml:space="preserve">Record every patch applied. Evidence required for SOC 2 CC6.7 and ISO 27001 A.8.8.</t>
  </si>
  <si>
    <t xml:space="preserve">Patch ID</t>
  </si>
  <si>
    <t xml:space="preserve">CVE / KB</t>
  </si>
  <si>
    <t xml:space="preserve">Patch / Fix</t>
  </si>
  <si>
    <t xml:space="preserve">Patch Source</t>
  </si>
  <si>
    <t xml:space="preserve">Tested in Staging</t>
  </si>
  <si>
    <t xml:space="preserve">Applied By</t>
  </si>
  <si>
    <t xml:space="preserve">Date Applied</t>
  </si>
  <si>
    <t xml:space="preserve">Re-scan Result</t>
  </si>
  <si>
    <t xml:space="preserve">Evidence</t>
  </si>
  <si>
    <t xml:space="preserve">PCH-001</t>
  </si>
  <si>
    <t xml:space="preserve">Upgrade Confluence to 7.4.17</t>
  </si>
  <si>
    <t xml:space="preserve">Atlassian Advisory</t>
  </si>
  <si>
    <t xml:space="preserve">Yes</t>
  </si>
  <si>
    <t xml:space="preserve">Victor E.</t>
  </si>
  <si>
    <t xml:space="preserve">Clean</t>
  </si>
  <si>
    <t xml:space="preserve">JIRA-1234 · Re-scan 2025-04-03</t>
  </si>
  <si>
    <t xml:space="preserve">PCH-002</t>
  </si>
  <si>
    <t xml:space="preserve">CVE-2019-0708 / KB4499175</t>
  </si>
  <si>
    <t xml:space="preserve">Windows Security Update KB4499175</t>
  </si>
  <si>
    <t xml:space="preserve">Microsoft Update Catalog</t>
  </si>
  <si>
    <t xml:space="preserve">JIRA-1201 · Re-scan 2025-04-02</t>
  </si>
  <si>
    <t xml:space="preserve">PCH-003</t>
  </si>
  <si>
    <t xml:space="preserve">CVE-2020-1472 / KB4571694</t>
  </si>
  <si>
    <t xml:space="preserve">Netlogon patch + enforcement mode</t>
  </si>
  <si>
    <t xml:space="preserve">JIRA-1218 · Re-scan 2025-04-04</t>
  </si>
  <si>
    <t xml:space="preserve">PCH-004</t>
  </si>
  <si>
    <t xml:space="preserve">CVE-2020-0601 / KB4528760</t>
  </si>
  <si>
    <t xml:space="preserve">Windows CryptoAPI patch KB4528760</t>
  </si>
  <si>
    <t xml:space="preserve">JIRA-1225 · Re-scan 2025-04-05</t>
  </si>
  <si>
    <t xml:space="preserve">COMPENSATING CONTROLS REGISTER</t>
  </si>
  <si>
    <t xml:space="preserve">Applied when a patch is unavailable. Must be reviewed at every scan cycle.</t>
  </si>
  <si>
    <t xml:space="preserve">Control ID</t>
  </si>
  <si>
    <t xml:space="preserve">Control Applied</t>
  </si>
  <si>
    <t xml:space="preserve">Control Type</t>
  </si>
  <si>
    <t xml:space="preserve">Implemented By</t>
  </si>
  <si>
    <t xml:space="preserve">Review Date</t>
  </si>
  <si>
    <t xml:space="preserve">Effectiveness</t>
  </si>
  <si>
    <t xml:space="preserve">CC-001</t>
  </si>
  <si>
    <t xml:space="preserve">Apache Log4Shell (CVE-2021-44228)</t>
  </si>
  <si>
    <t xml:space="preserve">WAF rule blocking JNDI lookup patterns. Log4j update scheduled next maintenance window.</t>
  </si>
  <si>
    <t xml:space="preserve">WAF Rule</t>
  </si>
  <si>
    <t xml:space="preserve">Effective — JNDI patterns blocked</t>
  </si>
  <si>
    <t xml:space="preserve">CC-002</t>
  </si>
  <si>
    <t xml:space="preserve">Exchange ProxyLogon (CVE-2021-26855)</t>
  </si>
  <si>
    <t xml:space="preserve">EOMT.ps1 script applied. Exchange isolated to internal VLAN. External access disabled.</t>
  </si>
  <si>
    <t xml:space="preserve">Network Segmentation</t>
  </si>
  <si>
    <t xml:space="preserve">Effective — external access removed</t>
  </si>
  <si>
    <t xml:space="preserve">CC-003</t>
  </si>
  <si>
    <t xml:space="preserve">VMware vCenter RCE (CVE-2021-21985)</t>
  </si>
  <si>
    <t xml:space="preserve">vCenter restricted to admin VLAN only. External access removed via firewall rule.</t>
  </si>
  <si>
    <t xml:space="preserve">Access Restriction</t>
  </si>
  <si>
    <t xml:space="preserve">Effective — access restricted to 3 admin IPs</t>
  </si>
  <si>
    <t xml:space="preserve">RISK ACCEPTANCE REGISTER</t>
  </si>
  <si>
    <t xml:space="preserve">Risk acceptance is a last resort — not a default. Every entry requires business owner and CISO sign-off.</t>
  </si>
  <si>
    <t xml:space="preserve">Risk ID</t>
  </si>
  <si>
    <t xml:space="preserve">Justification</t>
  </si>
  <si>
    <t xml:space="preserve">CISO Approval</t>
  </si>
  <si>
    <t xml:space="preserve">Accepted Date</t>
  </si>
  <si>
    <t xml:space="preserve">RA-001</t>
  </si>
  <si>
    <t xml:space="preserve">PHP-FPM RCE (CVE-2019-11043)</t>
  </si>
  <si>
    <t xml:space="preserve">Host is isolated — no internet exposure, no sensitive data. Patch requires PHP upgrade breaking legacy app. Reviewed by IT Manager.</t>
  </si>
  <si>
    <t xml:space="preserve">IT Manager — J. Smith</t>
  </si>
  <si>
    <t xml:space="preserve">CISO Approved</t>
  </si>
  <si>
    <t xml:space="preserve">2025-07-01</t>
  </si>
  <si>
    <t xml:space="preserve">RISK ACCEPTANCE RULES</t>
  </si>
  <si>
    <t xml:space="preserve">1.</t>
  </si>
  <si>
    <t xml:space="preserve">Critical vulnerabilities cannot be risk accepted — they must be patched or have a compensating control applied.</t>
  </si>
  <si>
    <t xml:space="preserve">2.</t>
  </si>
  <si>
    <t xml:space="preserve">High vulnerabilities require CISO approval before risk acceptance. Business owner alone is not sufficient.</t>
  </si>
  <si>
    <t xml:space="preserve">3.</t>
  </si>
  <si>
    <t xml:space="preserve">All accepted risks must have a review date — maximum 90 days for High, 6 months for Medium and Low.</t>
  </si>
  <si>
    <t xml:space="preserve">4.</t>
  </si>
  <si>
    <t xml:space="preserve">Risk acceptance does not close the vulnerability — it remains Open in the register with status Accepted.</t>
  </si>
  <si>
    <t xml:space="preserve">5.</t>
  </si>
  <si>
    <t xml:space="preserve">At review date, the risk must be reassessed. If still unpatched, a new acceptance must be signed.</t>
  </si>
  <si>
    <t xml:space="preserve">6.</t>
  </si>
  <si>
    <t xml:space="preserve">Auditors will review this register. Every entry needs a documented justification and named approver.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</si>
</sst>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2D9D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5C0A1E"/>
      <name val="Arial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11"/>
      <color rgb="FFA32D2D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1"/>
      <color rgb="FF854F0B"/>
      <name val="Arial"/>
      <family val="0"/>
      <charset val="1"/>
    </font>
    <font>
      <b val="true"/>
      <sz val="11"/>
      <color rgb="FF5C0A1E"/>
      <name val="Arial"/>
      <family val="0"/>
      <charset val="1"/>
    </font>
    <font>
      <b val="true"/>
      <sz val="11"/>
      <color rgb="FF3B6D11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5C0A1E"/>
      <name val="Arial"/>
      <family val="0"/>
      <charset val="1"/>
    </font>
    <font>
      <b val="true"/>
      <sz val="16"/>
      <color rgb="FFA32D2D"/>
      <name val="Arial"/>
      <family val="0"/>
      <charset val="1"/>
    </font>
    <font>
      <b val="true"/>
      <sz val="16"/>
      <color rgb="FF3B6D11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5C0A1E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1A1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5C0A1E"/>
        <bgColor rgb="FF660066"/>
      </patternFill>
    </fill>
    <fill>
      <patternFill patternType="solid">
        <fgColor rgb="FF8B1A2F"/>
        <bgColor rgb="FFA32D2D"/>
      </patternFill>
    </fill>
    <fill>
      <patternFill patternType="solid">
        <fgColor rgb="FFFFFFFF"/>
        <bgColor rgb="FFFBF0F2"/>
      </patternFill>
    </fill>
    <fill>
      <patternFill patternType="solid">
        <fgColor rgb="FFFCEBEB"/>
        <bgColor rgb="FFFBF0F2"/>
      </patternFill>
    </fill>
    <fill>
      <patternFill patternType="solid">
        <fgColor rgb="FFFBF0F2"/>
        <bgColor rgb="FFF5F0F1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F5F0F1"/>
      </patternFill>
    </fill>
    <fill>
      <patternFill patternType="solid">
        <fgColor rgb="FFF2D9DF"/>
        <bgColor rgb="FFFCEBEB"/>
      </patternFill>
    </fill>
    <fill>
      <patternFill patternType="solid">
        <fgColor rgb="FFEEEDFE"/>
        <bgColor rgb="FFF5F0F1"/>
      </patternFill>
    </fill>
    <fill>
      <patternFill patternType="solid">
        <fgColor rgb="FFF5F0F1"/>
        <bgColor rgb="FFFBF0F2"/>
      </patternFill>
    </fill>
    <fill>
      <patternFill patternType="solid">
        <fgColor rgb="FFB34D63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A0A8"/>
      </left>
      <right style="thin">
        <color rgb="FFC4A0A8"/>
      </right>
      <top style="thin">
        <color rgb="FFC4A0A8"/>
      </top>
      <bottom style="thin">
        <color rgb="FFC4A0A8"/>
      </bottom>
      <diagonal/>
    </border>
    <border diagonalUp="false" diagonalDown="false">
      <left style="thin">
        <color rgb="FFC4A0A8"/>
      </left>
      <right/>
      <top style="thin">
        <color rgb="FFC4A0A8"/>
      </top>
      <bottom style="thin">
        <color rgb="FFC4A0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0A1E"/>
      <rgbColor rgb="FF3B6D11"/>
      <rgbColor rgb="FF000080"/>
      <rgbColor rgb="FF854F0B"/>
      <rgbColor rgb="FF800080"/>
      <rgbColor rgb="FF008080"/>
      <rgbColor rgb="FFC4A0A8"/>
      <rgbColor rgb="FF808080"/>
      <rgbColor rgb="FF9999FF"/>
      <rgbColor rgb="FFB34D63"/>
      <rgbColor rgb="FFFAEEDA"/>
      <rgbColor rgb="FFEEEDFE"/>
      <rgbColor rgb="FF660066"/>
      <rgbColor rgb="FFFF8080"/>
      <rgbColor rgb="FF0066CC"/>
      <rgbColor rgb="FFF2D9DF"/>
      <rgbColor rgb="FF000080"/>
      <rgbColor rgb="FFFF00FF"/>
      <rgbColor rgb="FFFFFF00"/>
      <rgbColor rgb="FF00FFFF"/>
      <rgbColor rgb="FF800080"/>
      <rgbColor rgb="FF8B1A2F"/>
      <rgbColor rgb="FF008080"/>
      <rgbColor rgb="FF0000FF"/>
      <rgbColor rgb="FF00CCFF"/>
      <rgbColor rgb="FFF5F0F1"/>
      <rgbColor rgb="FFEAF3DE"/>
      <rgbColor rgb="FFFCEBEB"/>
      <rgbColor rgb="FF99CCFF"/>
      <rgbColor rgb="FFFF99CC"/>
      <rgbColor rgb="FFCC99FF"/>
      <rgbColor rgb="FFFBF0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2D2D"/>
      <rgbColor rgb="FF993366"/>
      <rgbColor rgb="FF3C348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0A1E"/>
    <pageSetUpPr fitToPage="fals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2" min="10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0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5" t="s">
        <v>18</v>
      </c>
      <c r="F5" s="6" t="s">
        <v>19</v>
      </c>
      <c r="G5" s="6" t="s">
        <v>20</v>
      </c>
      <c r="H5" s="5" t="s">
        <v>21</v>
      </c>
      <c r="I5" s="4" t="s">
        <v>22</v>
      </c>
      <c r="J5" s="4" t="s">
        <v>23</v>
      </c>
      <c r="K5" s="6" t="s">
        <v>24</v>
      </c>
      <c r="L5" s="4"/>
    </row>
    <row r="6" customFormat="false" ht="30" hidden="false" customHeight="true" outlineLevel="0" collapsed="false">
      <c r="A6" s="7" t="s">
        <v>25</v>
      </c>
      <c r="B6" s="7" t="s">
        <v>15</v>
      </c>
      <c r="C6" s="7" t="s">
        <v>16</v>
      </c>
      <c r="D6" s="7" t="s">
        <v>26</v>
      </c>
      <c r="E6" s="8" t="s">
        <v>27</v>
      </c>
      <c r="F6" s="6" t="s">
        <v>19</v>
      </c>
      <c r="G6" s="9" t="s">
        <v>28</v>
      </c>
      <c r="H6" s="8" t="s">
        <v>29</v>
      </c>
      <c r="I6" s="7" t="s">
        <v>30</v>
      </c>
      <c r="J6" s="7" t="s">
        <v>23</v>
      </c>
      <c r="K6" s="9" t="s">
        <v>31</v>
      </c>
      <c r="L6" s="7"/>
    </row>
    <row r="7" customFormat="false" ht="30" hidden="false" customHeight="true" outlineLevel="0" collapsed="false">
      <c r="A7" s="4" t="s">
        <v>32</v>
      </c>
      <c r="B7" s="4" t="s">
        <v>15</v>
      </c>
      <c r="C7" s="4" t="s">
        <v>33</v>
      </c>
      <c r="D7" s="4" t="s">
        <v>34</v>
      </c>
      <c r="E7" s="5" t="s">
        <v>35</v>
      </c>
      <c r="F7" s="6" t="s">
        <v>19</v>
      </c>
      <c r="G7" s="6" t="s">
        <v>36</v>
      </c>
      <c r="H7" s="5" t="s">
        <v>37</v>
      </c>
      <c r="I7" s="4" t="s">
        <v>38</v>
      </c>
      <c r="J7" s="4" t="s">
        <v>23</v>
      </c>
      <c r="K7" s="10" t="s">
        <v>39</v>
      </c>
      <c r="L7" s="4" t="s">
        <v>40</v>
      </c>
    </row>
    <row r="8" customFormat="false" ht="30" hidden="false" customHeight="true" outlineLevel="0" collapsed="false">
      <c r="A8" s="7" t="s">
        <v>41</v>
      </c>
      <c r="B8" s="7" t="s">
        <v>15</v>
      </c>
      <c r="C8" s="7" t="s">
        <v>42</v>
      </c>
      <c r="D8" s="7" t="s">
        <v>43</v>
      </c>
      <c r="E8" s="8" t="s">
        <v>44</v>
      </c>
      <c r="F8" s="9" t="s">
        <v>45</v>
      </c>
      <c r="G8" s="6" t="s">
        <v>36</v>
      </c>
      <c r="H8" s="8" t="s">
        <v>46</v>
      </c>
      <c r="I8" s="7" t="s">
        <v>30</v>
      </c>
      <c r="J8" s="7" t="s">
        <v>47</v>
      </c>
      <c r="K8" s="6" t="s">
        <v>24</v>
      </c>
      <c r="L8" s="7"/>
    </row>
    <row r="9" customFormat="false" ht="30" hidden="false" customHeight="true" outlineLevel="0" collapsed="false">
      <c r="A9" s="4" t="s">
        <v>48</v>
      </c>
      <c r="B9" s="4" t="s">
        <v>15</v>
      </c>
      <c r="C9" s="4" t="s">
        <v>49</v>
      </c>
      <c r="D9" s="4" t="s">
        <v>50</v>
      </c>
      <c r="E9" s="5" t="s">
        <v>51</v>
      </c>
      <c r="F9" s="9" t="s">
        <v>45</v>
      </c>
      <c r="G9" s="6" t="s">
        <v>52</v>
      </c>
      <c r="H9" s="5" t="s">
        <v>53</v>
      </c>
      <c r="I9" s="4" t="s">
        <v>30</v>
      </c>
      <c r="J9" s="4" t="s">
        <v>47</v>
      </c>
      <c r="K9" s="9" t="s">
        <v>31</v>
      </c>
      <c r="L9" s="4"/>
    </row>
    <row r="10" customFormat="false" ht="30" hidden="false" customHeight="true" outlineLevel="0" collapsed="false">
      <c r="A10" s="7" t="s">
        <v>54</v>
      </c>
      <c r="B10" s="7" t="s">
        <v>15</v>
      </c>
      <c r="C10" s="7" t="s">
        <v>55</v>
      </c>
      <c r="D10" s="7" t="s">
        <v>56</v>
      </c>
      <c r="E10" s="8" t="s">
        <v>57</v>
      </c>
      <c r="F10" s="9" t="s">
        <v>45</v>
      </c>
      <c r="G10" s="6" t="s">
        <v>36</v>
      </c>
      <c r="H10" s="8" t="s">
        <v>58</v>
      </c>
      <c r="I10" s="7" t="s">
        <v>38</v>
      </c>
      <c r="J10" s="7" t="s">
        <v>47</v>
      </c>
      <c r="K10" s="6" t="s">
        <v>24</v>
      </c>
      <c r="L10" s="7"/>
    </row>
    <row r="11" customFormat="false" ht="30" hidden="false" customHeight="true" outlineLevel="0" collapsed="false">
      <c r="A11" s="4" t="s">
        <v>59</v>
      </c>
      <c r="B11" s="4" t="s">
        <v>15</v>
      </c>
      <c r="C11" s="4" t="s">
        <v>16</v>
      </c>
      <c r="D11" s="4" t="s">
        <v>60</v>
      </c>
      <c r="E11" s="5" t="s">
        <v>61</v>
      </c>
      <c r="F11" s="9" t="s">
        <v>45</v>
      </c>
      <c r="G11" s="6" t="s">
        <v>36</v>
      </c>
      <c r="H11" s="5" t="s">
        <v>62</v>
      </c>
      <c r="I11" s="4" t="s">
        <v>30</v>
      </c>
      <c r="J11" s="4" t="s">
        <v>47</v>
      </c>
      <c r="K11" s="10" t="s">
        <v>39</v>
      </c>
      <c r="L11" s="4" t="s">
        <v>63</v>
      </c>
    </row>
    <row r="12" customFormat="false" ht="30" hidden="false" customHeight="true" outlineLevel="0" collapsed="false">
      <c r="A12" s="7" t="s">
        <v>64</v>
      </c>
      <c r="B12" s="7" t="s">
        <v>15</v>
      </c>
      <c r="C12" s="7" t="s">
        <v>65</v>
      </c>
      <c r="D12" s="7" t="s">
        <v>66</v>
      </c>
      <c r="E12" s="8" t="s">
        <v>67</v>
      </c>
      <c r="F12" s="9" t="s">
        <v>45</v>
      </c>
      <c r="G12" s="6" t="s">
        <v>36</v>
      </c>
      <c r="H12" s="8" t="s">
        <v>68</v>
      </c>
      <c r="I12" s="7" t="s">
        <v>69</v>
      </c>
      <c r="J12" s="7" t="s">
        <v>47</v>
      </c>
      <c r="K12" s="6" t="s">
        <v>24</v>
      </c>
      <c r="L12" s="7"/>
    </row>
    <row r="13" customFormat="false" ht="30" hidden="false" customHeight="true" outlineLevel="0" collapsed="false">
      <c r="A13" s="4" t="s">
        <v>70</v>
      </c>
      <c r="B13" s="4" t="s">
        <v>15</v>
      </c>
      <c r="C13" s="4" t="s">
        <v>42</v>
      </c>
      <c r="D13" s="4" t="s">
        <v>71</v>
      </c>
      <c r="E13" s="5" t="s">
        <v>72</v>
      </c>
      <c r="F13" s="9" t="s">
        <v>45</v>
      </c>
      <c r="G13" s="6" t="s">
        <v>20</v>
      </c>
      <c r="H13" s="5" t="s">
        <v>73</v>
      </c>
      <c r="I13" s="4" t="s">
        <v>30</v>
      </c>
      <c r="J13" s="4" t="s">
        <v>47</v>
      </c>
      <c r="K13" s="10" t="s">
        <v>39</v>
      </c>
      <c r="L13" s="4" t="s">
        <v>74</v>
      </c>
    </row>
    <row r="14" customFormat="false" ht="30" hidden="false" customHeight="true" outlineLevel="0" collapsed="false">
      <c r="A14" s="7" t="s">
        <v>75</v>
      </c>
      <c r="B14" s="7" t="s">
        <v>15</v>
      </c>
      <c r="C14" s="7" t="s">
        <v>76</v>
      </c>
      <c r="D14" s="7" t="s">
        <v>77</v>
      </c>
      <c r="E14" s="8" t="s">
        <v>35</v>
      </c>
      <c r="F14" s="11" t="s">
        <v>78</v>
      </c>
      <c r="G14" s="6" t="s">
        <v>36</v>
      </c>
      <c r="H14" s="8" t="s">
        <v>79</v>
      </c>
      <c r="I14" s="7" t="s">
        <v>38</v>
      </c>
      <c r="J14" s="7" t="s">
        <v>80</v>
      </c>
      <c r="K14" s="6" t="s">
        <v>24</v>
      </c>
      <c r="L14" s="7"/>
    </row>
    <row r="15" customFormat="false" ht="30" hidden="false" customHeight="true" outlineLevel="0" collapsed="false">
      <c r="A15" s="4" t="s">
        <v>81</v>
      </c>
      <c r="B15" s="4" t="s">
        <v>15</v>
      </c>
      <c r="C15" s="4" t="s">
        <v>82</v>
      </c>
      <c r="D15" s="4" t="s">
        <v>83</v>
      </c>
      <c r="E15" s="5" t="s">
        <v>84</v>
      </c>
      <c r="F15" s="11" t="s">
        <v>78</v>
      </c>
      <c r="G15" s="9" t="s">
        <v>85</v>
      </c>
      <c r="H15" s="5" t="s">
        <v>86</v>
      </c>
      <c r="I15" s="4" t="s">
        <v>69</v>
      </c>
      <c r="J15" s="4" t="s">
        <v>80</v>
      </c>
      <c r="K15" s="9" t="s">
        <v>31</v>
      </c>
      <c r="L15" s="4"/>
    </row>
    <row r="16" customFormat="false" ht="30" hidden="false" customHeight="true" outlineLevel="0" collapsed="false">
      <c r="A16" s="7" t="s">
        <v>87</v>
      </c>
      <c r="B16" s="7" t="s">
        <v>15</v>
      </c>
      <c r="C16" s="7" t="s">
        <v>88</v>
      </c>
      <c r="D16" s="7" t="s">
        <v>89</v>
      </c>
      <c r="E16" s="8" t="s">
        <v>90</v>
      </c>
      <c r="F16" s="11" t="s">
        <v>78</v>
      </c>
      <c r="G16" s="9" t="s">
        <v>85</v>
      </c>
      <c r="H16" s="8" t="s">
        <v>91</v>
      </c>
      <c r="I16" s="7" t="s">
        <v>69</v>
      </c>
      <c r="J16" s="7" t="s">
        <v>80</v>
      </c>
      <c r="K16" s="6" t="s">
        <v>24</v>
      </c>
      <c r="L16" s="7"/>
    </row>
    <row r="17" customFormat="false" ht="30" hidden="false" customHeight="true" outlineLevel="0" collapsed="false">
      <c r="A17" s="4" t="s">
        <v>92</v>
      </c>
      <c r="B17" s="4" t="s">
        <v>15</v>
      </c>
      <c r="C17" s="4" t="s">
        <v>33</v>
      </c>
      <c r="D17" s="4" t="s">
        <v>93</v>
      </c>
      <c r="E17" s="5" t="s">
        <v>94</v>
      </c>
      <c r="F17" s="11" t="s">
        <v>78</v>
      </c>
      <c r="G17" s="9" t="s">
        <v>95</v>
      </c>
      <c r="H17" s="5" t="s">
        <v>96</v>
      </c>
      <c r="I17" s="4" t="s">
        <v>30</v>
      </c>
      <c r="J17" s="4" t="s">
        <v>80</v>
      </c>
      <c r="K17" s="10" t="s">
        <v>39</v>
      </c>
      <c r="L17" s="4" t="s">
        <v>97</v>
      </c>
    </row>
    <row r="18" customFormat="false" ht="30" hidden="false" customHeight="true" outlineLevel="0" collapsed="false">
      <c r="A18" s="7" t="s">
        <v>98</v>
      </c>
      <c r="B18" s="7" t="s">
        <v>15</v>
      </c>
      <c r="C18" s="7" t="s">
        <v>99</v>
      </c>
      <c r="D18" s="7" t="s">
        <v>100</v>
      </c>
      <c r="E18" s="8" t="s">
        <v>101</v>
      </c>
      <c r="F18" s="10" t="s">
        <v>102</v>
      </c>
      <c r="G18" s="6" t="s">
        <v>36</v>
      </c>
      <c r="H18" s="8" t="s">
        <v>103</v>
      </c>
      <c r="I18" s="7" t="s">
        <v>38</v>
      </c>
      <c r="J18" s="7" t="s">
        <v>104</v>
      </c>
      <c r="K18" s="12" t="s">
        <v>105</v>
      </c>
      <c r="L18" s="7"/>
    </row>
    <row r="19" customFormat="false" ht="30" hidden="false" customHeight="true" outlineLevel="0" collapsed="false">
      <c r="A19" s="4" t="s">
        <v>106</v>
      </c>
      <c r="B19" s="4" t="s">
        <v>15</v>
      </c>
      <c r="C19" s="4" t="s">
        <v>107</v>
      </c>
      <c r="D19" s="4" t="s">
        <v>108</v>
      </c>
      <c r="E19" s="5" t="s">
        <v>109</v>
      </c>
      <c r="F19" s="10" t="s">
        <v>102</v>
      </c>
      <c r="G19" s="6" t="s">
        <v>36</v>
      </c>
      <c r="H19" s="5" t="s">
        <v>110</v>
      </c>
      <c r="I19" s="4" t="s">
        <v>69</v>
      </c>
      <c r="J19" s="4" t="s">
        <v>104</v>
      </c>
      <c r="K19" s="6" t="s">
        <v>24</v>
      </c>
      <c r="L19" s="4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F5:F200" type="list">
      <formula1>"Critical,High,Medium,Low,Info"</formula1>
      <formula2>0</formula2>
    </dataValidation>
    <dataValidation allowBlank="true" errorStyle="stop" operator="between" showDropDown="false" showErrorMessage="false" showInputMessage="false" sqref="K5:K200" type="list">
      <formula1>"Open,In Progress,Remediated,Accepted,False Positive"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2F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5" min="4" style="0" width="28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112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7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</row>
    <row r="5" customFormat="false" ht="48" hidden="false" customHeight="true" outlineLevel="0" collapsed="false">
      <c r="A5" s="13" t="s">
        <v>19</v>
      </c>
      <c r="B5" s="14" t="s">
        <v>118</v>
      </c>
      <c r="C5" s="14" t="s">
        <v>119</v>
      </c>
      <c r="D5" s="15" t="s">
        <v>120</v>
      </c>
      <c r="E5" s="15" t="s">
        <v>121</v>
      </c>
      <c r="F5" s="15" t="s">
        <v>122</v>
      </c>
    </row>
    <row r="6" customFormat="false" ht="48" hidden="false" customHeight="true" outlineLevel="0" collapsed="false">
      <c r="A6" s="16" t="s">
        <v>45</v>
      </c>
      <c r="B6" s="17" t="s">
        <v>123</v>
      </c>
      <c r="C6" s="17" t="s">
        <v>124</v>
      </c>
      <c r="D6" s="18" t="s">
        <v>125</v>
      </c>
      <c r="E6" s="18" t="s">
        <v>126</v>
      </c>
      <c r="F6" s="18" t="s">
        <v>127</v>
      </c>
    </row>
    <row r="7" customFormat="false" ht="48" hidden="false" customHeight="true" outlineLevel="0" collapsed="false">
      <c r="A7" s="19" t="s">
        <v>78</v>
      </c>
      <c r="B7" s="20" t="s">
        <v>128</v>
      </c>
      <c r="C7" s="20" t="s">
        <v>129</v>
      </c>
      <c r="D7" s="21" t="s">
        <v>130</v>
      </c>
      <c r="E7" s="21" t="s">
        <v>131</v>
      </c>
      <c r="F7" s="21" t="s">
        <v>132</v>
      </c>
    </row>
    <row r="8" customFormat="false" ht="48" hidden="false" customHeight="true" outlineLevel="0" collapsed="false">
      <c r="A8" s="22" t="s">
        <v>102</v>
      </c>
      <c r="B8" s="23" t="s">
        <v>133</v>
      </c>
      <c r="C8" s="23" t="s">
        <v>134</v>
      </c>
      <c r="D8" s="24" t="s">
        <v>135</v>
      </c>
      <c r="E8" s="24" t="s">
        <v>136</v>
      </c>
      <c r="F8" s="24" t="s">
        <v>137</v>
      </c>
    </row>
    <row r="9" customFormat="false" ht="48" hidden="false" customHeight="true" outlineLevel="0" collapsed="false">
      <c r="A9" s="25" t="s">
        <v>138</v>
      </c>
      <c r="B9" s="26" t="s">
        <v>139</v>
      </c>
      <c r="C9" s="26" t="s">
        <v>140</v>
      </c>
      <c r="D9" s="27" t="s">
        <v>141</v>
      </c>
      <c r="E9" s="27" t="s">
        <v>142</v>
      </c>
      <c r="F9" s="27" t="s">
        <v>143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4D63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145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7.5" hidden="false" customHeight="true" outlineLevel="0" collapsed="false"/>
    <row r="5" customFormat="false" ht="27.75" hidden="false" customHeight="true" outlineLevel="0" collapsed="false">
      <c r="A5" s="28" t="s">
        <v>146</v>
      </c>
      <c r="B5" s="28"/>
      <c r="C5" s="28"/>
      <c r="D5" s="28"/>
      <c r="E5" s="28"/>
      <c r="F5" s="28"/>
      <c r="G5" s="28"/>
      <c r="H5" s="28"/>
    </row>
    <row r="6" customFormat="false" ht="21.75" hidden="false" customHeight="true" outlineLevel="0" collapsed="false">
      <c r="A6" s="29" t="s">
        <v>147</v>
      </c>
      <c r="B6" s="29" t="s">
        <v>148</v>
      </c>
      <c r="C6" s="29" t="s">
        <v>149</v>
      </c>
      <c r="D6" s="29" t="s">
        <v>150</v>
      </c>
      <c r="E6" s="29" t="s">
        <v>151</v>
      </c>
      <c r="F6" s="29" t="s">
        <v>39</v>
      </c>
      <c r="G6" s="29" t="s">
        <v>152</v>
      </c>
    </row>
    <row r="7" customFormat="false" ht="31.5" hidden="false" customHeight="true" outlineLevel="0" collapsed="false">
      <c r="A7" s="30" t="n">
        <f aca="false">COUNTA('Vulnerability Register'!A5:A200)-1</f>
        <v>14</v>
      </c>
      <c r="B7" s="31" t="n">
        <f aca="false">COUNTIFS('Vulnerability Register'!F5:F200,"Critical",'Vulnerability Register'!K5:K200,"Open")</f>
        <v>1</v>
      </c>
      <c r="C7" s="30" t="n">
        <f aca="false">COUNTIFS('Vulnerability Register'!F5:F200,"High",'Vulnerability Register'!K5:K200,"Open")</f>
        <v>3</v>
      </c>
      <c r="D7" s="30" t="n">
        <f aca="false">COUNTIFS('Vulnerability Register'!F5:F200,"Medium",'Vulnerability Register'!K5:K200,"Open")</f>
        <v>2</v>
      </c>
      <c r="E7" s="30" t="n">
        <f aca="false">COUNTIFS('Vulnerability Register'!F5:F200,"Low",'Vulnerability Register'!K5:K200,"Open")</f>
        <v>1</v>
      </c>
      <c r="F7" s="32" t="n">
        <f aca="false">COUNTIF('Vulnerability Register'!K5:K200,"Remediated")</f>
        <v>4</v>
      </c>
      <c r="G7" s="31" t="n">
        <f aca="true">COUNTIFS('Vulnerability Register'!J5:J200,"&lt;"&amp;TODAY(),'Vulnerability Register'!K5:K200,"Open")</f>
        <v>0</v>
      </c>
    </row>
    <row r="9" customFormat="false" ht="7.5" hidden="false" customHeight="true" outlineLevel="0" collapsed="false"/>
    <row r="10" customFormat="false" ht="27.75" hidden="false" customHeight="true" outlineLevel="0" collapsed="false">
      <c r="A10" s="28" t="s">
        <v>153</v>
      </c>
      <c r="B10" s="28"/>
      <c r="C10" s="28"/>
      <c r="D10" s="28"/>
      <c r="E10" s="28"/>
      <c r="F10" s="28"/>
      <c r="G10" s="28"/>
      <c r="H10" s="28"/>
    </row>
    <row r="11" customFormat="false" ht="24" hidden="false" customHeight="true" outlineLevel="0" collapsed="false">
      <c r="A11" s="29" t="s">
        <v>7</v>
      </c>
      <c r="B11" s="29" t="s">
        <v>154</v>
      </c>
      <c r="C11" s="29" t="s">
        <v>24</v>
      </c>
      <c r="D11" s="29" t="s">
        <v>31</v>
      </c>
      <c r="E11" s="29" t="s">
        <v>39</v>
      </c>
      <c r="F11" s="29" t="s">
        <v>105</v>
      </c>
      <c r="G11" s="29" t="s">
        <v>155</v>
      </c>
      <c r="H11" s="29" t="s">
        <v>156</v>
      </c>
    </row>
    <row r="12" customFormat="false" ht="24" hidden="false" customHeight="true" outlineLevel="0" collapsed="false">
      <c r="A12" s="33" t="s">
        <v>19</v>
      </c>
      <c r="B12" s="34" t="n">
        <f aca="false">COUNTIF('Vulnerability Register'!F5:F200,"Critical")</f>
        <v>3</v>
      </c>
      <c r="C12" s="34" t="n">
        <f aca="false">COUNTIFS('Vulnerability Register'!F5:F200,"Critical",'Vulnerability Register'!K5:K200,"Open")</f>
        <v>1</v>
      </c>
      <c r="D12" s="34" t="n">
        <f aca="false">COUNTIFS('Vulnerability Register'!F5:F200,"Critical",'Vulnerability Register'!K5:K200,"In Progress")</f>
        <v>1</v>
      </c>
      <c r="E12" s="34" t="n">
        <f aca="false">COUNTIFS('Vulnerability Register'!F5:F200,"Critical",'Vulnerability Register'!K5:K200,"Remediated")</f>
        <v>1</v>
      </c>
      <c r="F12" s="34" t="n">
        <f aca="false">COUNTIFS('Vulnerability Register'!F5:F200,"Critical",'Vulnerability Register'!K5:K200,"Accepted")</f>
        <v>0</v>
      </c>
      <c r="G12" s="34" t="n">
        <f aca="false">COUNTIFS('Vulnerability Register'!F5:F200,"Critical",'Vulnerability Register'!K5:K200,"False Positive")</f>
        <v>0</v>
      </c>
      <c r="H12" s="34" t="str">
        <f aca="false">IF(B12=0,"",TEXT(D12/B12,"0%"))</f>
        <v>33%</v>
      </c>
    </row>
    <row r="13" customFormat="false" ht="24" hidden="false" customHeight="true" outlineLevel="0" collapsed="false">
      <c r="A13" s="35" t="s">
        <v>45</v>
      </c>
      <c r="B13" s="36" t="n">
        <f aca="false">COUNTIF('Vulnerability Register'!F5:F200,"High")</f>
        <v>6</v>
      </c>
      <c r="C13" s="36" t="n">
        <f aca="false">COUNTIFS('Vulnerability Register'!F5:F200,"High",'Vulnerability Register'!K5:K200,"Open")</f>
        <v>3</v>
      </c>
      <c r="D13" s="36" t="n">
        <f aca="false">COUNTIFS('Vulnerability Register'!F5:F200,"High",'Vulnerability Register'!K5:K200,"In Progress")</f>
        <v>1</v>
      </c>
      <c r="E13" s="36" t="n">
        <f aca="false">COUNTIFS('Vulnerability Register'!F5:F200,"High",'Vulnerability Register'!K5:K200,"Remediated")</f>
        <v>2</v>
      </c>
      <c r="F13" s="36" t="n">
        <f aca="false">COUNTIFS('Vulnerability Register'!F5:F200,"High",'Vulnerability Register'!K5:K200,"Accepted")</f>
        <v>0</v>
      </c>
      <c r="G13" s="36" t="n">
        <f aca="false">COUNTIFS('Vulnerability Register'!F5:F200,"High",'Vulnerability Register'!K5:K200,"False Positive")</f>
        <v>0</v>
      </c>
      <c r="H13" s="36" t="str">
        <f aca="false">IF(B13=0,"",TEXT(D13/B13,"0%"))</f>
        <v>17%</v>
      </c>
    </row>
    <row r="14" customFormat="false" ht="24" hidden="false" customHeight="true" outlineLevel="0" collapsed="false">
      <c r="A14" s="37" t="s">
        <v>78</v>
      </c>
      <c r="B14" s="38" t="n">
        <f aca="false">COUNTIF('Vulnerability Register'!F5:F200,"Medium")</f>
        <v>4</v>
      </c>
      <c r="C14" s="38" t="n">
        <f aca="false">COUNTIFS('Vulnerability Register'!F5:F200,"Medium",'Vulnerability Register'!K5:K200,"Open")</f>
        <v>2</v>
      </c>
      <c r="D14" s="38" t="n">
        <f aca="false">COUNTIFS('Vulnerability Register'!F5:F200,"Medium",'Vulnerability Register'!K5:K200,"In Progress")</f>
        <v>1</v>
      </c>
      <c r="E14" s="38" t="n">
        <f aca="false">COUNTIFS('Vulnerability Register'!F5:F200,"Medium",'Vulnerability Register'!K5:K200,"Remediated")</f>
        <v>1</v>
      </c>
      <c r="F14" s="38" t="n">
        <f aca="false">COUNTIFS('Vulnerability Register'!F5:F200,"Medium",'Vulnerability Register'!K5:K200,"Accepted")</f>
        <v>0</v>
      </c>
      <c r="G14" s="38" t="n">
        <f aca="false">COUNTIFS('Vulnerability Register'!F5:F200,"Medium",'Vulnerability Register'!K5:K200,"False Positive")</f>
        <v>0</v>
      </c>
      <c r="H14" s="38" t="str">
        <f aca="false">IF(B14=0,"",TEXT(D14/B14,"0%"))</f>
        <v>25%</v>
      </c>
    </row>
    <row r="15" customFormat="false" ht="24" hidden="false" customHeight="true" outlineLevel="0" collapsed="false">
      <c r="A15" s="39" t="s">
        <v>102</v>
      </c>
      <c r="B15" s="40" t="n">
        <f aca="false">COUNTIF('Vulnerability Register'!F5:F200,"Low")</f>
        <v>2</v>
      </c>
      <c r="C15" s="40" t="n">
        <f aca="false">COUNTIFS('Vulnerability Register'!F5:F200,"Low",'Vulnerability Register'!K5:K200,"Open")</f>
        <v>1</v>
      </c>
      <c r="D15" s="40" t="n">
        <f aca="false">COUNTIFS('Vulnerability Register'!F5:F200,"Low",'Vulnerability Register'!K5:K200,"In Progress")</f>
        <v>0</v>
      </c>
      <c r="E15" s="40" t="n">
        <f aca="false">COUNTIFS('Vulnerability Register'!F5:F200,"Low",'Vulnerability Register'!K5:K200,"Remediated")</f>
        <v>0</v>
      </c>
      <c r="F15" s="40" t="n">
        <f aca="false">COUNTIFS('Vulnerability Register'!F5:F200,"Low",'Vulnerability Register'!K5:K200,"Accepted")</f>
        <v>1</v>
      </c>
      <c r="G15" s="40" t="n">
        <f aca="false">COUNTIFS('Vulnerability Register'!F5:F200,"Low",'Vulnerability Register'!K5:K200,"False Positive")</f>
        <v>0</v>
      </c>
      <c r="H15" s="40" t="str">
        <f aca="false">IF(B15=0,"",TEXT(D15/B15,"0%"))</f>
        <v>0%</v>
      </c>
    </row>
    <row r="16" customFormat="false" ht="24" hidden="false" customHeight="true" outlineLevel="0" collapsed="false">
      <c r="A16" s="41" t="s">
        <v>138</v>
      </c>
      <c r="B16" s="42" t="n">
        <f aca="false">COUNTIF('Vulnerability Register'!F5:F200,"Info")</f>
        <v>0</v>
      </c>
      <c r="C16" s="42" t="n">
        <f aca="false">COUNTIFS('Vulnerability Register'!F5:F200,"Info",'Vulnerability Register'!K5:K200,"Open")</f>
        <v>0</v>
      </c>
      <c r="D16" s="42" t="n">
        <f aca="false">COUNTIFS('Vulnerability Register'!F5:F200,"Info",'Vulnerability Register'!K5:K200,"In Progress")</f>
        <v>0</v>
      </c>
      <c r="E16" s="42" t="n">
        <f aca="false">COUNTIFS('Vulnerability Register'!F5:F200,"Info",'Vulnerability Register'!K5:K200,"Remediated")</f>
        <v>0</v>
      </c>
      <c r="F16" s="42" t="n">
        <f aca="false">COUNTIFS('Vulnerability Register'!F5:F200,"Info",'Vulnerability Register'!K5:K200,"Accepted")</f>
        <v>0</v>
      </c>
      <c r="G16" s="42" t="n">
        <f aca="false">COUNTIFS('Vulnerability Register'!F5:F200,"Info",'Vulnerability Register'!K5:K200,"False Positive")</f>
        <v>0</v>
      </c>
      <c r="H16" s="42" t="str">
        <f aca="false">IF(B16=0,"",TEXT(D16/B16,"0%"))</f>
        <v/>
      </c>
    </row>
    <row r="18" customFormat="false" ht="7.5" hidden="false" customHeight="true" outlineLevel="0" collapsed="false"/>
    <row r="19" customFormat="false" ht="27.75" hidden="false" customHeight="true" outlineLevel="0" collapsed="false">
      <c r="A19" s="28" t="s">
        <v>157</v>
      </c>
      <c r="B19" s="28"/>
      <c r="C19" s="28"/>
      <c r="D19" s="28"/>
      <c r="E19" s="28"/>
      <c r="F19" s="28"/>
      <c r="G19" s="28"/>
      <c r="H19" s="28"/>
    </row>
    <row r="20" customFormat="false" ht="24" hidden="false" customHeight="true" outlineLevel="0" collapsed="false">
      <c r="A20" s="43" t="s">
        <v>3</v>
      </c>
      <c r="B20" s="43" t="s">
        <v>19</v>
      </c>
      <c r="C20" s="43" t="s">
        <v>45</v>
      </c>
      <c r="D20" s="43" t="s">
        <v>78</v>
      </c>
      <c r="E20" s="43" t="s">
        <v>102</v>
      </c>
      <c r="F20" s="43" t="s">
        <v>138</v>
      </c>
      <c r="G20" s="43" t="s">
        <v>154</v>
      </c>
      <c r="H20" s="43" t="s">
        <v>158</v>
      </c>
    </row>
    <row r="21" customFormat="false" ht="21.75" hidden="false" customHeight="true" outlineLevel="0" collapsed="false">
      <c r="A21" s="44" t="s">
        <v>159</v>
      </c>
      <c r="B21" s="44" t="s">
        <v>160</v>
      </c>
      <c r="C21" s="44" t="s">
        <v>161</v>
      </c>
      <c r="D21" s="44" t="s">
        <v>162</v>
      </c>
      <c r="E21" s="44" t="s">
        <v>163</v>
      </c>
      <c r="F21" s="44" t="s">
        <v>164</v>
      </c>
      <c r="G21" s="44" t="s">
        <v>165</v>
      </c>
      <c r="H21" s="44" t="s">
        <v>166</v>
      </c>
    </row>
    <row r="22" customFormat="false" ht="21.75" hidden="false" customHeight="true" outlineLevel="0" collapsed="false">
      <c r="A22" s="45" t="s">
        <v>167</v>
      </c>
      <c r="B22" s="45" t="s">
        <v>168</v>
      </c>
      <c r="C22" s="45" t="s">
        <v>169</v>
      </c>
      <c r="D22" s="45" t="s">
        <v>170</v>
      </c>
      <c r="E22" s="45" t="s">
        <v>171</v>
      </c>
      <c r="F22" s="45" t="s">
        <v>164</v>
      </c>
      <c r="G22" s="45" t="s">
        <v>172</v>
      </c>
      <c r="H22" s="45" t="s">
        <v>173</v>
      </c>
    </row>
    <row r="23" customFormat="false" ht="21.75" hidden="false" customHeight="true" outlineLevel="0" collapsed="false">
      <c r="A23" s="44" t="s">
        <v>174</v>
      </c>
      <c r="B23" s="44" t="s">
        <v>168</v>
      </c>
      <c r="C23" s="44" t="s">
        <v>163</v>
      </c>
      <c r="D23" s="44" t="s">
        <v>175</v>
      </c>
      <c r="E23" s="44" t="s">
        <v>176</v>
      </c>
      <c r="F23" s="44" t="s">
        <v>164</v>
      </c>
      <c r="G23" s="44" t="s">
        <v>177</v>
      </c>
      <c r="H23" s="44" t="s">
        <v>178</v>
      </c>
    </row>
    <row r="24" customFormat="false" ht="21.75" hidden="false" customHeight="true" outlineLevel="0" collapsed="false">
      <c r="A24" s="45" t="s">
        <v>15</v>
      </c>
      <c r="B24" s="45" t="s">
        <v>168</v>
      </c>
      <c r="C24" s="45" t="s">
        <v>160</v>
      </c>
      <c r="D24" s="45" t="s">
        <v>179</v>
      </c>
      <c r="E24" s="45" t="s">
        <v>180</v>
      </c>
      <c r="F24" s="45" t="s">
        <v>181</v>
      </c>
      <c r="G24" s="45" t="s">
        <v>182</v>
      </c>
      <c r="H24" s="45" t="s">
        <v>183</v>
      </c>
    </row>
  </sheetData>
  <mergeCells count="5">
    <mergeCell ref="A1:H1"/>
    <mergeCell ref="A2:H2"/>
    <mergeCell ref="A5:H5"/>
    <mergeCell ref="A10:H10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2F"/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8" min="6" style="0" width="14"/>
  </cols>
  <sheetData>
    <row r="1" customFormat="false" ht="36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185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3" t="s">
        <v>193</v>
      </c>
    </row>
    <row r="5" customFormat="false" ht="21.75" hidden="false" customHeight="true" outlineLevel="0" collapsed="false">
      <c r="A5" s="4" t="s">
        <v>194</v>
      </c>
      <c r="B5" s="4" t="s">
        <v>16</v>
      </c>
      <c r="C5" s="4" t="s">
        <v>195</v>
      </c>
      <c r="D5" s="4" t="s">
        <v>196</v>
      </c>
      <c r="E5" s="4" t="s">
        <v>30</v>
      </c>
      <c r="F5" s="4" t="s">
        <v>197</v>
      </c>
      <c r="G5" s="6" t="s">
        <v>19</v>
      </c>
      <c r="H5" s="4" t="s">
        <v>15</v>
      </c>
    </row>
    <row r="6" customFormat="false" ht="21.75" hidden="false" customHeight="true" outlineLevel="0" collapsed="false">
      <c r="A6" s="7" t="s">
        <v>198</v>
      </c>
      <c r="B6" s="7" t="s">
        <v>42</v>
      </c>
      <c r="C6" s="7" t="s">
        <v>195</v>
      </c>
      <c r="D6" s="7" t="s">
        <v>199</v>
      </c>
      <c r="E6" s="7" t="s">
        <v>30</v>
      </c>
      <c r="F6" s="7" t="s">
        <v>197</v>
      </c>
      <c r="G6" s="6" t="s">
        <v>19</v>
      </c>
      <c r="H6" s="7" t="s">
        <v>15</v>
      </c>
    </row>
    <row r="7" customFormat="false" ht="21.75" hidden="false" customHeight="true" outlineLevel="0" collapsed="false">
      <c r="A7" s="4" t="s">
        <v>200</v>
      </c>
      <c r="B7" s="4" t="s">
        <v>49</v>
      </c>
      <c r="C7" s="4" t="s">
        <v>195</v>
      </c>
      <c r="D7" s="4" t="s">
        <v>196</v>
      </c>
      <c r="E7" s="4" t="s">
        <v>30</v>
      </c>
      <c r="F7" s="4" t="s">
        <v>197</v>
      </c>
      <c r="G7" s="9" t="s">
        <v>45</v>
      </c>
      <c r="H7" s="4" t="s">
        <v>15</v>
      </c>
    </row>
    <row r="8" customFormat="false" ht="21.75" hidden="false" customHeight="true" outlineLevel="0" collapsed="false">
      <c r="A8" s="7" t="s">
        <v>201</v>
      </c>
      <c r="B8" s="7" t="s">
        <v>33</v>
      </c>
      <c r="C8" s="7" t="s">
        <v>195</v>
      </c>
      <c r="D8" s="7" t="s">
        <v>202</v>
      </c>
      <c r="E8" s="7" t="s">
        <v>38</v>
      </c>
      <c r="F8" s="7" t="s">
        <v>197</v>
      </c>
      <c r="G8" s="6" t="s">
        <v>19</v>
      </c>
      <c r="H8" s="7" t="s">
        <v>15</v>
      </c>
    </row>
    <row r="9" customFormat="false" ht="21.75" hidden="false" customHeight="true" outlineLevel="0" collapsed="false">
      <c r="A9" s="4" t="s">
        <v>203</v>
      </c>
      <c r="B9" s="4" t="s">
        <v>55</v>
      </c>
      <c r="C9" s="4" t="s">
        <v>195</v>
      </c>
      <c r="D9" s="4" t="s">
        <v>204</v>
      </c>
      <c r="E9" s="4" t="s">
        <v>38</v>
      </c>
      <c r="F9" s="4" t="s">
        <v>197</v>
      </c>
      <c r="G9" s="9" t="s">
        <v>45</v>
      </c>
      <c r="H9" s="4" t="s">
        <v>15</v>
      </c>
    </row>
    <row r="10" customFormat="false" ht="21.75" hidden="false" customHeight="true" outlineLevel="0" collapsed="false">
      <c r="A10" s="7" t="s">
        <v>205</v>
      </c>
      <c r="B10" s="7" t="s">
        <v>65</v>
      </c>
      <c r="C10" s="7" t="s">
        <v>206</v>
      </c>
      <c r="D10" s="7" t="s">
        <v>207</v>
      </c>
      <c r="E10" s="7" t="s">
        <v>69</v>
      </c>
      <c r="F10" s="7" t="s">
        <v>197</v>
      </c>
      <c r="G10" s="6" t="s">
        <v>19</v>
      </c>
      <c r="H10" s="7" t="s">
        <v>15</v>
      </c>
    </row>
    <row r="11" customFormat="false" ht="21.75" hidden="false" customHeight="true" outlineLevel="0" collapsed="false">
      <c r="A11" s="4" t="s">
        <v>208</v>
      </c>
      <c r="B11" s="4" t="s">
        <v>76</v>
      </c>
      <c r="C11" s="4" t="s">
        <v>195</v>
      </c>
      <c r="D11" s="4" t="s">
        <v>209</v>
      </c>
      <c r="E11" s="4" t="s">
        <v>38</v>
      </c>
      <c r="F11" s="4" t="s">
        <v>210</v>
      </c>
      <c r="G11" s="11" t="s">
        <v>78</v>
      </c>
      <c r="H11" s="4" t="s">
        <v>15</v>
      </c>
    </row>
    <row r="12" customFormat="false" ht="21.75" hidden="false" customHeight="true" outlineLevel="0" collapsed="false">
      <c r="A12" s="7" t="s">
        <v>211</v>
      </c>
      <c r="B12" s="7" t="s">
        <v>82</v>
      </c>
      <c r="C12" s="7" t="s">
        <v>195</v>
      </c>
      <c r="D12" s="7" t="s">
        <v>212</v>
      </c>
      <c r="E12" s="7" t="s">
        <v>69</v>
      </c>
      <c r="F12" s="7" t="s">
        <v>197</v>
      </c>
      <c r="G12" s="9" t="s">
        <v>45</v>
      </c>
      <c r="H12" s="7" t="s">
        <v>15</v>
      </c>
    </row>
    <row r="13" customFormat="false" ht="21.75" hidden="false" customHeight="true" outlineLevel="0" collapsed="false">
      <c r="A13" s="4" t="s">
        <v>213</v>
      </c>
      <c r="B13" s="4" t="s">
        <v>88</v>
      </c>
      <c r="C13" s="4" t="s">
        <v>195</v>
      </c>
      <c r="D13" s="4" t="s">
        <v>202</v>
      </c>
      <c r="E13" s="4" t="s">
        <v>38</v>
      </c>
      <c r="F13" s="4" t="s">
        <v>197</v>
      </c>
      <c r="G13" s="11" t="s">
        <v>78</v>
      </c>
      <c r="H13" s="4" t="s">
        <v>15</v>
      </c>
    </row>
    <row r="14" customFormat="false" ht="21.75" hidden="false" customHeight="true" outlineLevel="0" collapsed="false">
      <c r="A14" s="7" t="s">
        <v>214</v>
      </c>
      <c r="B14" s="7" t="s">
        <v>99</v>
      </c>
      <c r="C14" s="7" t="s">
        <v>195</v>
      </c>
      <c r="D14" s="7" t="s">
        <v>215</v>
      </c>
      <c r="E14" s="7" t="s">
        <v>38</v>
      </c>
      <c r="F14" s="7" t="s">
        <v>197</v>
      </c>
      <c r="G14" s="11" t="s">
        <v>78</v>
      </c>
      <c r="H14" s="7" t="s">
        <v>15</v>
      </c>
    </row>
    <row r="15" customFormat="false" ht="21.75" hidden="false" customHeight="true" outlineLevel="0" collapsed="false">
      <c r="A15" s="4" t="s">
        <v>216</v>
      </c>
      <c r="B15" s="4" t="s">
        <v>107</v>
      </c>
      <c r="C15" s="4" t="s">
        <v>217</v>
      </c>
      <c r="D15" s="4" t="s">
        <v>218</v>
      </c>
      <c r="E15" s="4" t="s">
        <v>69</v>
      </c>
      <c r="F15" s="4" t="s">
        <v>197</v>
      </c>
      <c r="G15" s="10" t="s">
        <v>102</v>
      </c>
      <c r="H15" s="4" t="s">
        <v>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4D63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36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220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221</v>
      </c>
      <c r="B4" s="3" t="s">
        <v>2</v>
      </c>
      <c r="C4" s="3" t="s">
        <v>222</v>
      </c>
      <c r="D4" s="3" t="s">
        <v>223</v>
      </c>
      <c r="E4" s="3" t="s">
        <v>10</v>
      </c>
      <c r="F4" s="3" t="s">
        <v>224</v>
      </c>
      <c r="G4" s="3" t="s">
        <v>225</v>
      </c>
      <c r="H4" s="3" t="s">
        <v>12</v>
      </c>
      <c r="I4" s="3" t="s">
        <v>226</v>
      </c>
    </row>
    <row r="5" customFormat="false" ht="30" hidden="false" customHeight="true" outlineLevel="0" collapsed="false">
      <c r="A5" s="46" t="s">
        <v>227</v>
      </c>
      <c r="B5" s="4" t="s">
        <v>14</v>
      </c>
      <c r="C5" s="4" t="s">
        <v>16</v>
      </c>
      <c r="D5" s="5" t="s">
        <v>228</v>
      </c>
      <c r="E5" s="4" t="s">
        <v>22</v>
      </c>
      <c r="F5" s="6" t="s">
        <v>19</v>
      </c>
      <c r="G5" s="4" t="s">
        <v>23</v>
      </c>
      <c r="H5" s="6" t="s">
        <v>24</v>
      </c>
      <c r="I5" s="5"/>
    </row>
    <row r="6" customFormat="false" ht="30" hidden="false" customHeight="true" outlineLevel="0" collapsed="false">
      <c r="A6" s="47" t="s">
        <v>229</v>
      </c>
      <c r="B6" s="7" t="s">
        <v>25</v>
      </c>
      <c r="C6" s="7" t="s">
        <v>16</v>
      </c>
      <c r="D6" s="8" t="s">
        <v>230</v>
      </c>
      <c r="E6" s="7" t="s">
        <v>30</v>
      </c>
      <c r="F6" s="6" t="s">
        <v>19</v>
      </c>
      <c r="G6" s="7" t="s">
        <v>23</v>
      </c>
      <c r="H6" s="9" t="s">
        <v>31</v>
      </c>
      <c r="I6" s="8" t="s">
        <v>231</v>
      </c>
    </row>
    <row r="7" customFormat="false" ht="30" hidden="false" customHeight="true" outlineLevel="0" collapsed="false">
      <c r="A7" s="46" t="s">
        <v>232</v>
      </c>
      <c r="B7" s="4" t="s">
        <v>32</v>
      </c>
      <c r="C7" s="4" t="s">
        <v>33</v>
      </c>
      <c r="D7" s="5" t="s">
        <v>233</v>
      </c>
      <c r="E7" s="4" t="s">
        <v>38</v>
      </c>
      <c r="F7" s="6" t="s">
        <v>19</v>
      </c>
      <c r="G7" s="4" t="s">
        <v>23</v>
      </c>
      <c r="H7" s="10" t="s">
        <v>234</v>
      </c>
      <c r="I7" s="5" t="s">
        <v>235</v>
      </c>
    </row>
    <row r="8" customFormat="false" ht="30" hidden="false" customHeight="true" outlineLevel="0" collapsed="false">
      <c r="A8" s="47" t="s">
        <v>236</v>
      </c>
      <c r="B8" s="7" t="s">
        <v>41</v>
      </c>
      <c r="C8" s="7" t="s">
        <v>42</v>
      </c>
      <c r="D8" s="8" t="s">
        <v>237</v>
      </c>
      <c r="E8" s="7" t="s">
        <v>30</v>
      </c>
      <c r="F8" s="9" t="s">
        <v>45</v>
      </c>
      <c r="G8" s="7" t="s">
        <v>47</v>
      </c>
      <c r="H8" s="6" t="s">
        <v>24</v>
      </c>
      <c r="I8" s="8"/>
    </row>
    <row r="9" customFormat="false" ht="30" hidden="false" customHeight="true" outlineLevel="0" collapsed="false">
      <c r="A9" s="46" t="s">
        <v>238</v>
      </c>
      <c r="B9" s="4" t="s">
        <v>48</v>
      </c>
      <c r="C9" s="4" t="s">
        <v>49</v>
      </c>
      <c r="D9" s="5" t="s">
        <v>239</v>
      </c>
      <c r="E9" s="4" t="s">
        <v>30</v>
      </c>
      <c r="F9" s="9" t="s">
        <v>45</v>
      </c>
      <c r="G9" s="4" t="s">
        <v>47</v>
      </c>
      <c r="H9" s="9" t="s">
        <v>31</v>
      </c>
      <c r="I9" s="5" t="s">
        <v>240</v>
      </c>
    </row>
    <row r="10" customFormat="false" ht="30" hidden="false" customHeight="true" outlineLevel="0" collapsed="false">
      <c r="A10" s="47" t="s">
        <v>241</v>
      </c>
      <c r="B10" s="7" t="s">
        <v>59</v>
      </c>
      <c r="C10" s="7" t="s">
        <v>16</v>
      </c>
      <c r="D10" s="8" t="s">
        <v>242</v>
      </c>
      <c r="E10" s="7" t="s">
        <v>30</v>
      </c>
      <c r="F10" s="9" t="s">
        <v>45</v>
      </c>
      <c r="G10" s="7" t="s">
        <v>47</v>
      </c>
      <c r="H10" s="10" t="s">
        <v>234</v>
      </c>
      <c r="I10" s="8" t="s">
        <v>243</v>
      </c>
    </row>
    <row r="11" customFormat="false" ht="30" hidden="false" customHeight="true" outlineLevel="0" collapsed="false">
      <c r="A11" s="46" t="s">
        <v>244</v>
      </c>
      <c r="B11" s="4" t="s">
        <v>70</v>
      </c>
      <c r="C11" s="4" t="s">
        <v>42</v>
      </c>
      <c r="D11" s="5" t="s">
        <v>245</v>
      </c>
      <c r="E11" s="4" t="s">
        <v>30</v>
      </c>
      <c r="F11" s="9" t="s">
        <v>45</v>
      </c>
      <c r="G11" s="4" t="s">
        <v>47</v>
      </c>
      <c r="H11" s="10" t="s">
        <v>234</v>
      </c>
      <c r="I11" s="5" t="s">
        <v>246</v>
      </c>
    </row>
    <row r="12" customFormat="false" ht="30" hidden="false" customHeight="true" outlineLevel="0" collapsed="false">
      <c r="A12" s="47" t="s">
        <v>247</v>
      </c>
      <c r="B12" s="7" t="s">
        <v>75</v>
      </c>
      <c r="C12" s="7" t="s">
        <v>76</v>
      </c>
      <c r="D12" s="8" t="s">
        <v>248</v>
      </c>
      <c r="E12" s="7" t="s">
        <v>38</v>
      </c>
      <c r="F12" s="11" t="s">
        <v>78</v>
      </c>
      <c r="G12" s="7" t="s">
        <v>80</v>
      </c>
      <c r="H12" s="6" t="s">
        <v>24</v>
      </c>
      <c r="I12" s="8"/>
    </row>
    <row r="13" customFormat="false" ht="30" hidden="false" customHeight="true" outlineLevel="0" collapsed="false">
      <c r="A13" s="46" t="s">
        <v>249</v>
      </c>
      <c r="B13" s="4" t="s">
        <v>98</v>
      </c>
      <c r="C13" s="4" t="s">
        <v>99</v>
      </c>
      <c r="D13" s="5" t="s">
        <v>250</v>
      </c>
      <c r="E13" s="4" t="s">
        <v>38</v>
      </c>
      <c r="F13" s="10" t="s">
        <v>102</v>
      </c>
      <c r="G13" s="4" t="s">
        <v>104</v>
      </c>
      <c r="H13" s="12" t="s">
        <v>105</v>
      </c>
      <c r="I13" s="5" t="s">
        <v>251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0A1E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7" min="6" style="0" width="20"/>
  </cols>
  <sheetData>
    <row r="1" customFormat="false" ht="36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253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7.5" hidden="false" customHeight="true" outlineLevel="0" collapsed="false"/>
    <row r="5" customFormat="false" ht="27.75" hidden="false" customHeight="true" outlineLevel="0" collapsed="false">
      <c r="A5" s="48" t="s">
        <v>254</v>
      </c>
      <c r="B5" s="48"/>
      <c r="C5" s="48"/>
      <c r="D5" s="48"/>
      <c r="E5" s="48"/>
      <c r="F5" s="48"/>
      <c r="G5" s="48"/>
    </row>
    <row r="6" customFormat="false" ht="21.75" hidden="false" customHeight="true" outlineLevel="0" collapsed="false">
      <c r="A6" s="49" t="s">
        <v>255</v>
      </c>
      <c r="B6" s="49"/>
      <c r="C6" s="49"/>
      <c r="D6" s="49"/>
      <c r="E6" s="49"/>
      <c r="F6" s="49"/>
      <c r="G6" s="49"/>
    </row>
    <row r="7" customFormat="false" ht="21.75" hidden="false" customHeight="true" outlineLevel="0" collapsed="false">
      <c r="A7" s="43" t="s">
        <v>256</v>
      </c>
      <c r="B7" s="43" t="s">
        <v>257</v>
      </c>
      <c r="C7" s="43" t="s">
        <v>258</v>
      </c>
      <c r="D7" s="43" t="s">
        <v>259</v>
      </c>
      <c r="E7" s="43" t="s">
        <v>260</v>
      </c>
      <c r="F7" s="43"/>
      <c r="G7" s="43"/>
    </row>
    <row r="8" customFormat="false" ht="39.75" hidden="false" customHeight="true" outlineLevel="0" collapsed="false">
      <c r="A8" s="50" t="s">
        <v>261</v>
      </c>
      <c r="B8" s="5" t="s">
        <v>262</v>
      </c>
      <c r="C8" s="5" t="s">
        <v>263</v>
      </c>
      <c r="D8" s="5" t="s">
        <v>264</v>
      </c>
      <c r="E8" s="5" t="s">
        <v>265</v>
      </c>
      <c r="F8" s="51"/>
      <c r="G8" s="51"/>
    </row>
    <row r="9" customFormat="false" ht="39.75" hidden="false" customHeight="true" outlineLevel="0" collapsed="false">
      <c r="A9" s="52" t="s">
        <v>266</v>
      </c>
      <c r="B9" s="8" t="s">
        <v>267</v>
      </c>
      <c r="C9" s="8" t="s">
        <v>268</v>
      </c>
      <c r="D9" s="8" t="s">
        <v>269</v>
      </c>
      <c r="E9" s="8" t="s">
        <v>270</v>
      </c>
      <c r="F9" s="53"/>
      <c r="G9" s="53"/>
    </row>
    <row r="10" customFormat="false" ht="39.75" hidden="false" customHeight="true" outlineLevel="0" collapsed="false">
      <c r="A10" s="50" t="s">
        <v>271</v>
      </c>
      <c r="B10" s="5" t="s">
        <v>272</v>
      </c>
      <c r="C10" s="5" t="s">
        <v>273</v>
      </c>
      <c r="D10" s="5" t="s">
        <v>274</v>
      </c>
      <c r="E10" s="5" t="s">
        <v>275</v>
      </c>
      <c r="F10" s="51"/>
      <c r="G10" s="51"/>
    </row>
    <row r="11" customFormat="false" ht="7.5" hidden="false" customHeight="true" outlineLevel="0" collapsed="false"/>
    <row r="12" customFormat="false" ht="27.75" hidden="false" customHeight="true" outlineLevel="0" collapsed="false">
      <c r="A12" s="54" t="s">
        <v>276</v>
      </c>
      <c r="B12" s="54"/>
      <c r="C12" s="54"/>
      <c r="D12" s="54"/>
      <c r="E12" s="54"/>
      <c r="F12" s="54"/>
      <c r="G12" s="54"/>
    </row>
    <row r="13" customFormat="false" ht="21.75" hidden="false" customHeight="true" outlineLevel="0" collapsed="false">
      <c r="A13" s="49" t="s">
        <v>277</v>
      </c>
      <c r="B13" s="49"/>
      <c r="C13" s="49"/>
      <c r="D13" s="49"/>
      <c r="E13" s="49"/>
      <c r="F13" s="49"/>
      <c r="G13" s="49"/>
    </row>
    <row r="14" customFormat="false" ht="21.75" hidden="false" customHeight="true" outlineLevel="0" collapsed="false">
      <c r="A14" s="43" t="s">
        <v>256</v>
      </c>
      <c r="B14" s="43" t="s">
        <v>257</v>
      </c>
      <c r="C14" s="43" t="s">
        <v>258</v>
      </c>
      <c r="D14" s="43" t="s">
        <v>259</v>
      </c>
      <c r="E14" s="43" t="s">
        <v>260</v>
      </c>
      <c r="F14" s="43"/>
      <c r="G14" s="43"/>
    </row>
    <row r="15" customFormat="false" ht="39.75" hidden="false" customHeight="true" outlineLevel="0" collapsed="false">
      <c r="A15" s="50" t="s">
        <v>278</v>
      </c>
      <c r="B15" s="5" t="s">
        <v>279</v>
      </c>
      <c r="C15" s="5" t="s">
        <v>280</v>
      </c>
      <c r="D15" s="5" t="s">
        <v>281</v>
      </c>
      <c r="E15" s="5" t="s">
        <v>282</v>
      </c>
      <c r="F15" s="51"/>
      <c r="G15" s="51"/>
    </row>
    <row r="16" customFormat="false" ht="39.75" hidden="false" customHeight="true" outlineLevel="0" collapsed="false">
      <c r="A16" s="52" t="s">
        <v>283</v>
      </c>
      <c r="B16" s="8" t="s">
        <v>284</v>
      </c>
      <c r="C16" s="8" t="s">
        <v>285</v>
      </c>
      <c r="D16" s="8" t="s">
        <v>286</v>
      </c>
      <c r="E16" s="8" t="s">
        <v>287</v>
      </c>
      <c r="F16" s="53"/>
      <c r="G16" s="53"/>
    </row>
    <row r="17" customFormat="false" ht="39.75" hidden="false" customHeight="true" outlineLevel="0" collapsed="false">
      <c r="A17" s="50" t="s">
        <v>288</v>
      </c>
      <c r="B17" s="5" t="s">
        <v>289</v>
      </c>
      <c r="C17" s="5" t="s">
        <v>290</v>
      </c>
      <c r="D17" s="5" t="s">
        <v>291</v>
      </c>
      <c r="E17" s="5" t="s">
        <v>292</v>
      </c>
      <c r="F17" s="51"/>
      <c r="G17" s="51"/>
    </row>
    <row r="18" customFormat="false" ht="7.5" hidden="false" customHeight="true" outlineLevel="0" collapsed="false"/>
    <row r="19" customFormat="false" ht="27.75" hidden="false" customHeight="true" outlineLevel="0" collapsed="false">
      <c r="A19" s="55" t="s">
        <v>293</v>
      </c>
      <c r="B19" s="55"/>
      <c r="C19" s="55"/>
      <c r="D19" s="55"/>
      <c r="E19" s="55"/>
      <c r="F19" s="55"/>
      <c r="G19" s="55"/>
    </row>
    <row r="20" customFormat="false" ht="21.75" hidden="false" customHeight="true" outlineLevel="0" collapsed="false">
      <c r="A20" s="49" t="s">
        <v>294</v>
      </c>
      <c r="B20" s="49"/>
      <c r="C20" s="49"/>
      <c r="D20" s="49"/>
      <c r="E20" s="49"/>
      <c r="F20" s="49"/>
      <c r="G20" s="49"/>
    </row>
    <row r="21" customFormat="false" ht="21.75" hidden="false" customHeight="true" outlineLevel="0" collapsed="false">
      <c r="A21" s="43" t="s">
        <v>256</v>
      </c>
      <c r="B21" s="43" t="s">
        <v>257</v>
      </c>
      <c r="C21" s="43" t="s">
        <v>258</v>
      </c>
      <c r="D21" s="43" t="s">
        <v>259</v>
      </c>
      <c r="E21" s="43" t="s">
        <v>260</v>
      </c>
      <c r="F21" s="43"/>
      <c r="G21" s="43"/>
    </row>
    <row r="22" customFormat="false" ht="39.75" hidden="false" customHeight="true" outlineLevel="0" collapsed="false">
      <c r="A22" s="50" t="s">
        <v>295</v>
      </c>
      <c r="B22" s="5" t="s">
        <v>296</v>
      </c>
      <c r="C22" s="5" t="s">
        <v>297</v>
      </c>
      <c r="D22" s="5" t="s">
        <v>298</v>
      </c>
      <c r="E22" s="5" t="s">
        <v>299</v>
      </c>
      <c r="F22" s="51"/>
      <c r="G22" s="51"/>
    </row>
    <row r="23" customFormat="false" ht="39.75" hidden="false" customHeight="true" outlineLevel="0" collapsed="false">
      <c r="A23" s="52" t="s">
        <v>300</v>
      </c>
      <c r="B23" s="8" t="s">
        <v>301</v>
      </c>
      <c r="C23" s="8" t="s">
        <v>302</v>
      </c>
      <c r="D23" s="8" t="s">
        <v>303</v>
      </c>
      <c r="E23" s="8" t="s">
        <v>304</v>
      </c>
      <c r="F23" s="53"/>
      <c r="G23" s="53"/>
    </row>
    <row r="24" customFormat="false" ht="39.75" hidden="false" customHeight="true" outlineLevel="0" collapsed="false">
      <c r="A24" s="50" t="s">
        <v>305</v>
      </c>
      <c r="B24" s="5" t="s">
        <v>306</v>
      </c>
      <c r="C24" s="5" t="s">
        <v>307</v>
      </c>
      <c r="D24" s="5" t="s">
        <v>308</v>
      </c>
      <c r="E24" s="5" t="s">
        <v>309</v>
      </c>
      <c r="F24" s="51"/>
      <c r="G24" s="51"/>
    </row>
    <row r="25" customFormat="false" ht="7.5" hidden="false" customHeight="true" outlineLevel="0" collapsed="false"/>
    <row r="26" customFormat="false" ht="27.75" hidden="false" customHeight="true" outlineLevel="0" collapsed="false">
      <c r="A26" s="48" t="s">
        <v>310</v>
      </c>
      <c r="B26" s="48"/>
      <c r="C26" s="48"/>
      <c r="D26" s="48"/>
      <c r="E26" s="48"/>
      <c r="F26" s="48"/>
      <c r="G26" s="48"/>
    </row>
    <row r="27" customFormat="false" ht="21.75" hidden="false" customHeight="true" outlineLevel="0" collapsed="false">
      <c r="A27" s="49" t="s">
        <v>311</v>
      </c>
      <c r="B27" s="49"/>
      <c r="C27" s="49"/>
      <c r="D27" s="49"/>
      <c r="E27" s="49"/>
      <c r="F27" s="49"/>
      <c r="G27" s="49"/>
    </row>
    <row r="28" customFormat="false" ht="21.75" hidden="false" customHeight="true" outlineLevel="0" collapsed="false">
      <c r="A28" s="43" t="s">
        <v>256</v>
      </c>
      <c r="B28" s="43" t="s">
        <v>257</v>
      </c>
      <c r="C28" s="43" t="s">
        <v>258</v>
      </c>
      <c r="D28" s="43" t="s">
        <v>259</v>
      </c>
      <c r="E28" s="43" t="s">
        <v>260</v>
      </c>
      <c r="F28" s="43"/>
      <c r="G28" s="43"/>
    </row>
    <row r="29" customFormat="false" ht="39.75" hidden="false" customHeight="true" outlineLevel="0" collapsed="false">
      <c r="A29" s="50" t="s">
        <v>312</v>
      </c>
      <c r="B29" s="5" t="s">
        <v>313</v>
      </c>
      <c r="C29" s="5" t="s">
        <v>314</v>
      </c>
      <c r="D29" s="5" t="s">
        <v>315</v>
      </c>
      <c r="E29" s="5" t="s">
        <v>316</v>
      </c>
      <c r="F29" s="51"/>
      <c r="G29" s="51"/>
    </row>
    <row r="30" customFormat="false" ht="39.75" hidden="false" customHeight="true" outlineLevel="0" collapsed="false">
      <c r="A30" s="52" t="s">
        <v>317</v>
      </c>
      <c r="B30" s="8" t="s">
        <v>318</v>
      </c>
      <c r="C30" s="8" t="s">
        <v>319</v>
      </c>
      <c r="D30" s="8" t="s">
        <v>320</v>
      </c>
      <c r="E30" s="8" t="s">
        <v>321</v>
      </c>
      <c r="F30" s="53"/>
      <c r="G30" s="53"/>
    </row>
    <row r="31" customFormat="false" ht="39.75" hidden="false" customHeight="true" outlineLevel="0" collapsed="false">
      <c r="A31" s="50" t="s">
        <v>322</v>
      </c>
      <c r="B31" s="5" t="s">
        <v>323</v>
      </c>
      <c r="C31" s="5" t="s">
        <v>324</v>
      </c>
      <c r="D31" s="5" t="s">
        <v>325</v>
      </c>
      <c r="E31" s="5" t="s">
        <v>326</v>
      </c>
      <c r="F31" s="51"/>
      <c r="G31" s="51"/>
    </row>
  </sheetData>
  <mergeCells count="22">
    <mergeCell ref="A1:G1"/>
    <mergeCell ref="A2:G2"/>
    <mergeCell ref="A5:G5"/>
    <mergeCell ref="A6:G6"/>
    <mergeCell ref="F8:G8"/>
    <mergeCell ref="F9:G9"/>
    <mergeCell ref="F10:G10"/>
    <mergeCell ref="A12:G12"/>
    <mergeCell ref="A13:G13"/>
    <mergeCell ref="F15:G15"/>
    <mergeCell ref="F16:G16"/>
    <mergeCell ref="F17:G17"/>
    <mergeCell ref="A19:G19"/>
    <mergeCell ref="A20:G20"/>
    <mergeCell ref="F22:G22"/>
    <mergeCell ref="F23:G23"/>
    <mergeCell ref="F24:G24"/>
    <mergeCell ref="A26:G26"/>
    <mergeCell ref="A27:G27"/>
    <mergeCell ref="F29:G29"/>
    <mergeCell ref="F30:G30"/>
    <mergeCell ref="F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2F"/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36" hidden="false" customHeight="true" outlineLevel="0" collapsed="false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328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329</v>
      </c>
      <c r="B4" s="3" t="s">
        <v>2</v>
      </c>
      <c r="C4" s="3" t="s">
        <v>4</v>
      </c>
      <c r="D4" s="3" t="s">
        <v>330</v>
      </c>
      <c r="E4" s="3" t="s">
        <v>331</v>
      </c>
      <c r="F4" s="3" t="s">
        <v>332</v>
      </c>
      <c r="G4" s="3" t="s">
        <v>333</v>
      </c>
      <c r="H4" s="3" t="s">
        <v>334</v>
      </c>
      <c r="I4" s="3" t="s">
        <v>335</v>
      </c>
      <c r="J4" s="3" t="s">
        <v>336</v>
      </c>
      <c r="K4" s="3" t="s">
        <v>337</v>
      </c>
    </row>
    <row r="5" customFormat="false" ht="27.75" hidden="false" customHeight="true" outlineLevel="0" collapsed="false">
      <c r="A5" s="46" t="s">
        <v>338</v>
      </c>
      <c r="B5" s="4" t="s">
        <v>32</v>
      </c>
      <c r="C5" s="4" t="s">
        <v>33</v>
      </c>
      <c r="D5" s="4" t="s">
        <v>34</v>
      </c>
      <c r="E5" s="5" t="s">
        <v>339</v>
      </c>
      <c r="F5" s="4" t="s">
        <v>340</v>
      </c>
      <c r="G5" s="4" t="s">
        <v>341</v>
      </c>
      <c r="H5" s="4" t="s">
        <v>342</v>
      </c>
      <c r="I5" s="4" t="s">
        <v>40</v>
      </c>
      <c r="J5" s="10" t="s">
        <v>343</v>
      </c>
      <c r="K5" s="5" t="s">
        <v>344</v>
      </c>
    </row>
    <row r="6" customFormat="false" ht="27.75" hidden="false" customHeight="true" outlineLevel="0" collapsed="false">
      <c r="A6" s="47" t="s">
        <v>345</v>
      </c>
      <c r="B6" s="7" t="s">
        <v>59</v>
      </c>
      <c r="C6" s="7" t="s">
        <v>16</v>
      </c>
      <c r="D6" s="7" t="s">
        <v>346</v>
      </c>
      <c r="E6" s="8" t="s">
        <v>347</v>
      </c>
      <c r="F6" s="7" t="s">
        <v>348</v>
      </c>
      <c r="G6" s="7" t="s">
        <v>341</v>
      </c>
      <c r="H6" s="7" t="s">
        <v>30</v>
      </c>
      <c r="I6" s="7" t="s">
        <v>63</v>
      </c>
      <c r="J6" s="10" t="s">
        <v>343</v>
      </c>
      <c r="K6" s="8" t="s">
        <v>349</v>
      </c>
    </row>
    <row r="7" customFormat="false" ht="27.75" hidden="false" customHeight="true" outlineLevel="0" collapsed="false">
      <c r="A7" s="46" t="s">
        <v>350</v>
      </c>
      <c r="B7" s="4" t="s">
        <v>70</v>
      </c>
      <c r="C7" s="4" t="s">
        <v>42</v>
      </c>
      <c r="D7" s="4" t="s">
        <v>351</v>
      </c>
      <c r="E7" s="5" t="s">
        <v>352</v>
      </c>
      <c r="F7" s="4" t="s">
        <v>348</v>
      </c>
      <c r="G7" s="4" t="s">
        <v>341</v>
      </c>
      <c r="H7" s="4" t="s">
        <v>30</v>
      </c>
      <c r="I7" s="4" t="s">
        <v>74</v>
      </c>
      <c r="J7" s="10" t="s">
        <v>343</v>
      </c>
      <c r="K7" s="5" t="s">
        <v>353</v>
      </c>
    </row>
    <row r="8" customFormat="false" ht="27.75" hidden="false" customHeight="true" outlineLevel="0" collapsed="false">
      <c r="A8" s="47" t="s">
        <v>354</v>
      </c>
      <c r="B8" s="7" t="s">
        <v>92</v>
      </c>
      <c r="C8" s="7" t="s">
        <v>33</v>
      </c>
      <c r="D8" s="7" t="s">
        <v>355</v>
      </c>
      <c r="E8" s="8" t="s">
        <v>356</v>
      </c>
      <c r="F8" s="7" t="s">
        <v>348</v>
      </c>
      <c r="G8" s="7" t="s">
        <v>341</v>
      </c>
      <c r="H8" s="7" t="s">
        <v>30</v>
      </c>
      <c r="I8" s="7" t="s">
        <v>97</v>
      </c>
      <c r="J8" s="10" t="s">
        <v>343</v>
      </c>
      <c r="K8" s="8" t="s">
        <v>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4D63"/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360</v>
      </c>
      <c r="B4" s="3" t="s">
        <v>2</v>
      </c>
      <c r="C4" s="3" t="s">
        <v>222</v>
      </c>
      <c r="D4" s="3" t="s">
        <v>6</v>
      </c>
      <c r="E4" s="3" t="s">
        <v>361</v>
      </c>
      <c r="F4" s="3" t="s">
        <v>362</v>
      </c>
      <c r="G4" s="3" t="s">
        <v>363</v>
      </c>
      <c r="H4" s="3" t="s">
        <v>335</v>
      </c>
      <c r="I4" s="3" t="s">
        <v>364</v>
      </c>
      <c r="J4" s="3" t="s">
        <v>365</v>
      </c>
    </row>
    <row r="5" customFormat="false" ht="39.75" hidden="false" customHeight="true" outlineLevel="0" collapsed="false">
      <c r="A5" s="46" t="s">
        <v>366</v>
      </c>
      <c r="B5" s="4" t="s">
        <v>14</v>
      </c>
      <c r="C5" s="4" t="s">
        <v>16</v>
      </c>
      <c r="D5" s="5" t="s">
        <v>367</v>
      </c>
      <c r="E5" s="5" t="s">
        <v>368</v>
      </c>
      <c r="F5" s="4" t="s">
        <v>369</v>
      </c>
      <c r="G5" s="4" t="s">
        <v>22</v>
      </c>
      <c r="H5" s="4" t="s">
        <v>15</v>
      </c>
      <c r="I5" s="4" t="s">
        <v>23</v>
      </c>
      <c r="J5" s="56" t="s">
        <v>370</v>
      </c>
    </row>
    <row r="6" customFormat="false" ht="39.75" hidden="false" customHeight="true" outlineLevel="0" collapsed="false">
      <c r="A6" s="47" t="s">
        <v>371</v>
      </c>
      <c r="B6" s="7" t="s">
        <v>48</v>
      </c>
      <c r="C6" s="7" t="s">
        <v>49</v>
      </c>
      <c r="D6" s="8" t="s">
        <v>372</v>
      </c>
      <c r="E6" s="8" t="s">
        <v>373</v>
      </c>
      <c r="F6" s="7" t="s">
        <v>374</v>
      </c>
      <c r="G6" s="7" t="s">
        <v>30</v>
      </c>
      <c r="H6" s="7" t="s">
        <v>63</v>
      </c>
      <c r="I6" s="7" t="s">
        <v>47</v>
      </c>
      <c r="J6" s="56" t="s">
        <v>375</v>
      </c>
    </row>
    <row r="7" customFormat="false" ht="39.75" hidden="false" customHeight="true" outlineLevel="0" collapsed="false">
      <c r="A7" s="46" t="s">
        <v>376</v>
      </c>
      <c r="B7" s="4" t="s">
        <v>64</v>
      </c>
      <c r="C7" s="4" t="s">
        <v>65</v>
      </c>
      <c r="D7" s="5" t="s">
        <v>377</v>
      </c>
      <c r="E7" s="5" t="s">
        <v>378</v>
      </c>
      <c r="F7" s="4" t="s">
        <v>379</v>
      </c>
      <c r="G7" s="4" t="s">
        <v>69</v>
      </c>
      <c r="H7" s="4" t="s">
        <v>40</v>
      </c>
      <c r="I7" s="4" t="s">
        <v>47</v>
      </c>
      <c r="J7" s="56" t="s">
        <v>380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0A1E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36" hidden="false" customHeight="true" outlineLevel="0" collapsed="false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382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383</v>
      </c>
      <c r="B4" s="3" t="s">
        <v>2</v>
      </c>
      <c r="C4" s="3" t="s">
        <v>222</v>
      </c>
      <c r="D4" s="3" t="s">
        <v>6</v>
      </c>
      <c r="E4" s="3" t="s">
        <v>7</v>
      </c>
      <c r="F4" s="3" t="s">
        <v>384</v>
      </c>
      <c r="G4" s="3" t="s">
        <v>190</v>
      </c>
      <c r="H4" s="3" t="s">
        <v>385</v>
      </c>
      <c r="I4" s="3" t="s">
        <v>386</v>
      </c>
      <c r="J4" s="3" t="s">
        <v>364</v>
      </c>
    </row>
    <row r="5" customFormat="false" ht="48" hidden="false" customHeight="true" outlineLevel="0" collapsed="false">
      <c r="A5" s="46" t="s">
        <v>387</v>
      </c>
      <c r="B5" s="4" t="s">
        <v>98</v>
      </c>
      <c r="C5" s="4" t="s">
        <v>99</v>
      </c>
      <c r="D5" s="5" t="s">
        <v>388</v>
      </c>
      <c r="E5" s="10" t="s">
        <v>102</v>
      </c>
      <c r="F5" s="5" t="s">
        <v>389</v>
      </c>
      <c r="G5" s="4" t="s">
        <v>390</v>
      </c>
      <c r="H5" s="4" t="s">
        <v>391</v>
      </c>
      <c r="I5" s="4" t="s">
        <v>15</v>
      </c>
      <c r="J5" s="4" t="s">
        <v>392</v>
      </c>
    </row>
    <row r="8" customFormat="false" ht="7.5" hidden="false" customHeight="true" outlineLevel="0" collapsed="false"/>
    <row r="9" customFormat="false" ht="25.5" hidden="false" customHeight="true" outlineLevel="0" collapsed="false">
      <c r="A9" s="57" t="s">
        <v>393</v>
      </c>
      <c r="B9" s="57"/>
      <c r="C9" s="57"/>
      <c r="D9" s="57"/>
      <c r="E9" s="57"/>
      <c r="F9" s="57"/>
      <c r="G9" s="57"/>
      <c r="H9" s="57"/>
      <c r="I9" s="57"/>
      <c r="J9" s="57"/>
    </row>
    <row r="10" customFormat="false" ht="25.5" hidden="false" customHeight="true" outlineLevel="0" collapsed="false">
      <c r="A10" s="58" t="s">
        <v>394</v>
      </c>
      <c r="B10" s="59" t="s">
        <v>395</v>
      </c>
      <c r="C10" s="59"/>
      <c r="D10" s="59"/>
      <c r="E10" s="59"/>
      <c r="F10" s="59"/>
      <c r="G10" s="59"/>
      <c r="H10" s="59"/>
      <c r="I10" s="59"/>
      <c r="J10" s="59"/>
    </row>
    <row r="11" customFormat="false" ht="25.5" hidden="false" customHeight="true" outlineLevel="0" collapsed="false">
      <c r="A11" s="60" t="s">
        <v>396</v>
      </c>
      <c r="B11" s="61" t="s">
        <v>397</v>
      </c>
      <c r="C11" s="61"/>
      <c r="D11" s="61"/>
      <c r="E11" s="61"/>
      <c r="F11" s="61"/>
      <c r="G11" s="61"/>
      <c r="H11" s="61"/>
      <c r="I11" s="61"/>
      <c r="J11" s="61"/>
    </row>
    <row r="12" customFormat="false" ht="25.5" hidden="false" customHeight="true" outlineLevel="0" collapsed="false">
      <c r="A12" s="58" t="s">
        <v>398</v>
      </c>
      <c r="B12" s="59" t="s">
        <v>399</v>
      </c>
      <c r="C12" s="59"/>
      <c r="D12" s="59"/>
      <c r="E12" s="59"/>
      <c r="F12" s="59"/>
      <c r="G12" s="59"/>
      <c r="H12" s="59"/>
      <c r="I12" s="59"/>
      <c r="J12" s="59"/>
    </row>
    <row r="13" customFormat="false" ht="25.5" hidden="false" customHeight="true" outlineLevel="0" collapsed="false">
      <c r="A13" s="60" t="s">
        <v>400</v>
      </c>
      <c r="B13" s="61" t="s">
        <v>401</v>
      </c>
      <c r="C13" s="61"/>
      <c r="D13" s="61"/>
      <c r="E13" s="61"/>
      <c r="F13" s="61"/>
      <c r="G13" s="61"/>
      <c r="H13" s="61"/>
      <c r="I13" s="61"/>
      <c r="J13" s="61"/>
    </row>
    <row r="14" customFormat="false" ht="25.5" hidden="false" customHeight="true" outlineLevel="0" collapsed="false">
      <c r="A14" s="58" t="s">
        <v>402</v>
      </c>
      <c r="B14" s="59" t="s">
        <v>403</v>
      </c>
      <c r="C14" s="59"/>
      <c r="D14" s="59"/>
      <c r="E14" s="59"/>
      <c r="F14" s="59"/>
      <c r="G14" s="59"/>
      <c r="H14" s="59"/>
      <c r="I14" s="59"/>
      <c r="J14" s="59"/>
    </row>
    <row r="15" customFormat="false" ht="25.5" hidden="false" customHeight="true" outlineLevel="0" collapsed="false">
      <c r="A15" s="60" t="s">
        <v>404</v>
      </c>
      <c r="B15" s="61" t="s">
        <v>405</v>
      </c>
      <c r="C15" s="61"/>
      <c r="D15" s="61"/>
      <c r="E15" s="61"/>
      <c r="F15" s="61"/>
      <c r="G15" s="61"/>
      <c r="H15" s="61"/>
      <c r="I15" s="61"/>
      <c r="J15" s="61"/>
    </row>
  </sheetData>
  <mergeCells count="9">
    <mergeCell ref="A1:J1"/>
    <mergeCell ref="A2:J2"/>
    <mergeCell ref="A9:J9"/>
    <mergeCell ref="B10:J10"/>
    <mergeCell ref="B11:J11"/>
    <mergeCell ref="B12:J12"/>
    <mergeCell ref="B13:J13"/>
    <mergeCell ref="B14:J14"/>
    <mergeCell ref="B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2026-04-03T22:03:09Z</dcterms:created>
  <dc:creator>openpyxl</dc:creator>
  <dc:description/>
  <dc:language>en-US</dc:language>
  <cp:lastModifiedBy/>
  <dcterms:modified xsi:type="dcterms:W3CDTF">2026-04-03T22:03:09Z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