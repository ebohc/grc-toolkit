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table+xml" PartName="/xl/tables/table1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Vendor Risk Register" sheetId="1" r:id="rId4"/>
    <sheet state="visible" name="Scoring Guide" sheetId="2" r:id="rId5"/>
    <sheet state="visible" name="Sample — Amazon AWS" sheetId="3" r:id="rId6"/>
    <sheet state="visible" name="Blank Template" sheetId="4" r:id="rId7"/>
  </sheets>
  <definedNames/>
  <calcPr/>
  <extLst>
    <ext uri="GoogleSheetsCustomDataVersion2">
      <go:sheetsCustomData xmlns:go="http://customooxmlschemas.google.com/" r:id="rId8" roundtripDataChecksum="hV9E6lm3eYk1Govrm5ftmPgpe3wkN2hmtu1f0MKCttc="/>
    </ext>
  </extLst>
</workbook>
</file>

<file path=xl/sharedStrings.xml><?xml version="1.0" encoding="utf-8"?>
<sst xmlns="http://schemas.openxmlformats.org/spreadsheetml/2006/main" count="147" uniqueCount="123">
  <si>
    <t>VENDOR RISK REGISTER</t>
  </si>
  <si>
    <t>Third-Party Risk Management Template  |  Score vendors objectively. Review by risk level. Stay audit-ready.</t>
  </si>
  <si>
    <t>Vendor Name</t>
  </si>
  <si>
    <t>Category</t>
  </si>
  <si>
    <t>Data Access
(1-3)</t>
  </si>
  <si>
    <t>Integration
Depth (1-3)</t>
  </si>
  <si>
    <t>Business
Criticality (1-3)</t>
  </si>
  <si>
    <t>Security
Posture (1-3)</t>
  </si>
  <si>
    <t>Weighted
Score</t>
  </si>
  <si>
    <t>Risk Level</t>
  </si>
  <si>
    <t>Last Assessed</t>
  </si>
  <si>
    <t>Weight: 40%</t>
  </si>
  <si>
    <t>Weight: 30%</t>
  </si>
  <si>
    <t>Weight: 20%</t>
  </si>
  <si>
    <t>Weight: 10%</t>
  </si>
  <si>
    <t>Auto-calculated</t>
  </si>
  <si>
    <t>Auto-assigned</t>
  </si>
  <si>
    <t>Amazon AWS</t>
  </si>
  <si>
    <t>IaaS</t>
  </si>
  <si>
    <t>2025-04-01</t>
  </si>
  <si>
    <t>Salesforce CRM</t>
  </si>
  <si>
    <t>SaaS</t>
  </si>
  <si>
    <t>2025-01-15</t>
  </si>
  <si>
    <t>Microsoft 365</t>
  </si>
  <si>
    <t>2025-03-10</t>
  </si>
  <si>
    <t>DocuSign</t>
  </si>
  <si>
    <t>2025-02-20</t>
  </si>
  <si>
    <t>Zoom</t>
  </si>
  <si>
    <t>HubSpot</t>
  </si>
  <si>
    <t>2024-12-01</t>
  </si>
  <si>
    <t>Office Supplies Co.</t>
  </si>
  <si>
    <t>Supplier</t>
  </si>
  <si>
    <t>Cleaning Services</t>
  </si>
  <si>
    <t>2024-11-01</t>
  </si>
  <si>
    <t>PORTFOLIO SUMMARY</t>
  </si>
  <si>
    <t>Total Vendors</t>
  </si>
  <si>
    <t>High Risk</t>
  </si>
  <si>
    <t>Medium Risk</t>
  </si>
  <si>
    <t>Low Risk</t>
  </si>
  <si>
    <t>Avg Score</t>
  </si>
  <si>
    <t>Overdue (&gt;365d)</t>
  </si>
  <si>
    <t>VENDOR RISK SCORING GUIDE</t>
  </si>
  <si>
    <t>Use this guide to assign scores 1, 2, or 3 to columns C–F in the Vendor Risk Register.</t>
  </si>
  <si>
    <t>C — Data Access   |   Weight: 40%</t>
  </si>
  <si>
    <t>1 — None / public</t>
  </si>
  <si>
    <t>Vendor handles only public or non-personal information. No sensitive data exposure.</t>
  </si>
  <si>
    <t>2 — Internal data</t>
  </si>
  <si>
    <t>Vendor accesses financial records, employee data, or internal operational systems.</t>
  </si>
  <si>
    <t>3 — PII / regulated</t>
  </si>
  <si>
    <t>Vendor holds customer PII, payment card data, health records, credentials, or IP.</t>
  </si>
  <si>
    <t>D — Integration Depth   |   Weight: 30%</t>
  </si>
  <si>
    <t>1 — No integration</t>
  </si>
  <si>
    <t>Standalone tool. No API, no system connection, no data sync.</t>
  </si>
  <si>
    <t>2 — Moderate</t>
  </si>
  <si>
    <t>Some data sync or API connection to internal systems. Limited blast radius.</t>
  </si>
  <si>
    <t>3 — Deep / core</t>
  </si>
  <si>
    <t>Core infrastructure: SSO, real-time pipelines, or production environment dependency.</t>
  </si>
  <si>
    <t>E — Business Criticality   |   Weight: 20%</t>
  </si>
  <si>
    <t>1 — Low impact</t>
  </si>
  <si>
    <t>Business continues normally if vendor is unavailable. Easily replaced or bypassed.</t>
  </si>
  <si>
    <t>2 — Moderate impact</t>
  </si>
  <si>
    <t>Productivity suffers but core operations and customer services survive.</t>
  </si>
  <si>
    <t>3 — Critical</t>
  </si>
  <si>
    <t>Vendor outage causes immediate business disruption or customer-facing downtime.</t>
  </si>
  <si>
    <t>F — Security Posture   |   Weight: 10%</t>
  </si>
  <si>
    <t>1 — Strong</t>
  </si>
  <si>
    <t>SOC 2 Type II, ISO 27001 or equivalent. Questionnaire fully completed and returned.</t>
  </si>
  <si>
    <t>2 — Partial</t>
  </si>
  <si>
    <t>Some certifications exist or questionnaire was only partially completed.</t>
  </si>
  <si>
    <t>3 — Unknown / weak</t>
  </si>
  <si>
    <t>No certifications, no questionnaire response, no security transparency.</t>
  </si>
  <si>
    <t>RISK LEVEL THRESHOLDS</t>
  </si>
  <si>
    <t>HIGH</t>
  </si>
  <si>
    <t>Score ≥ 2.5</t>
  </si>
  <si>
    <t>Quarterly review — SOC 2 report, shared responsibility doc, BCP inclusion</t>
  </si>
  <si>
    <t>MEDIUM</t>
  </si>
  <si>
    <t>Score 1.5–2.4</t>
  </si>
  <si>
    <t>Annual review — security questionnaire, certification check at renewal</t>
  </si>
  <si>
    <t>LOW</t>
  </si>
  <si>
    <t>Score &lt; 1.5</t>
  </si>
  <si>
    <t>Biennial review — reassess only on contract renewal or data scope change</t>
  </si>
  <si>
    <t>SAMPLE ASSESSMENT — AMAZON AWS (AWS)</t>
  </si>
  <si>
    <t>A worked example showing how to score a real vendor using the 9-column framework.</t>
  </si>
  <si>
    <t>Column &amp; Factor</t>
  </si>
  <si>
    <t>Score</t>
  </si>
  <si>
    <t>Rationale</t>
  </si>
  <si>
    <t>Weight</t>
  </si>
  <si>
    <t>C Data access</t>
  </si>
  <si>
    <t>AWS hosts servers, databases, S3 buckets, and backups. They have access to everything on your infrastructure — customer data, app data, credentials stored in environment variables.</t>
  </si>
  <si>
    <t>40%</t>
  </si>
  <si>
    <t>D Integration depth</t>
  </si>
  <si>
    <t>AWS IS your infrastructure — not just integrated with it. IAM, VPCs, RDS, Route 53, Lambda. Remove AWS and your entire stack is gone.</t>
  </si>
  <si>
    <t>30%</t>
  </si>
  <si>
    <t>E Business criticality</t>
  </si>
  <si>
    <t>An AWS outage takes your applications down instantly. Customers cannot reach your product. There is no manual fallback. The 2021 us-east-1 outage took down large parts of the internet.</t>
  </si>
  <si>
    <t>20%</t>
  </si>
  <si>
    <t>F Security posture</t>
  </si>
  <si>
    <t>AWS holds SOC 1/2/3, ISO 27001, PCI DSS Level 1, FedRAMP High, and 140+ certifications. Security reports available publicly via AWS Artifact. Best possible rating.</t>
  </si>
  <si>
    <t>10%</t>
  </si>
  <si>
    <t>WEIGHTED SCORE CALCULATION</t>
  </si>
  <si>
    <t>Formula</t>
  </si>
  <si>
    <t>(3×0.4) + (3×0.3) + (3×0.2) + (1×0.1)</t>
  </si>
  <si>
    <t>Breakdown</t>
  </si>
  <si>
    <t>1.2  +  0.9  +  0.6  +  0.1</t>
  </si>
  <si>
    <t>Weighted Score</t>
  </si>
  <si>
    <t>2.8  out of  3.0</t>
  </si>
  <si>
    <t>HIGH  (threshold: score ≥ 2.5)</t>
  </si>
  <si>
    <t>Review Cadence</t>
  </si>
  <si>
    <t>Quarterly security review required</t>
  </si>
  <si>
    <t>Action Items</t>
  </si>
  <si>
    <t>Obtain SOC 2 Type II report · Document shared responsibility · Set service health alerts · Include in BCP</t>
  </si>
  <si>
    <t>Factor</t>
  </si>
  <si>
    <t>Column</t>
  </si>
  <si>
    <t>Data access</t>
  </si>
  <si>
    <t>C</t>
  </si>
  <si>
    <t>Integration depth</t>
  </si>
  <si>
    <t>D</t>
  </si>
  <si>
    <t>Business criticality</t>
  </si>
  <si>
    <t>E</t>
  </si>
  <si>
    <t>Security posture</t>
  </si>
  <si>
    <t>F</t>
  </si>
  <si>
    <t>VENDOR RISK REGISTER — YOUR ORGANIZATION</t>
  </si>
  <si>
    <t>Enter vendor name and scores 1-3 in columns C-F. Columns G and H calculate automatically.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</si>
</sst>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0.0"/>
    <numFmt numFmtId="165" formatCode="dd\-mmm\-yyyy"/>
  </numFmts>
  <fonts count="29">
    <font>
      <sz val="11.0"/>
      <color theme="1"/>
      <name val="Calibri"/>
      <scheme val="minor"/>
    </font>
    <font>
      <b/>
      <sz val="16.0"/>
      <color rgb="FFFFFFFF"/>
      <name val="Arial"/>
    </font>
    <font/>
    <font>
      <i/>
      <sz val="10.0"/>
      <color rgb="FFE6F1FB"/>
      <name val="Arial"/>
    </font>
    <font>
      <b/>
      <sz val="10.0"/>
      <color rgb="FFFFFFFF"/>
      <name val="Arial"/>
    </font>
    <font>
      <i/>
      <sz val="9.0"/>
      <color rgb="FFE6F1FB"/>
      <name val="Arial"/>
    </font>
    <font>
      <b/>
      <sz val="10.0"/>
      <color rgb="FF1A1A1A"/>
      <name val="Arial"/>
    </font>
    <font>
      <sz val="10.0"/>
      <color rgb="FF1A1A1A"/>
      <name val="Arial"/>
    </font>
    <font>
      <b/>
      <sz val="11.0"/>
      <color rgb="FF1A1A1A"/>
      <name val="Arial"/>
    </font>
    <font>
      <color theme="1"/>
      <name val="Calibri"/>
      <scheme val="minor"/>
    </font>
    <font>
      <b/>
      <sz val="9.0"/>
      <color rgb="FFFFFFFF"/>
      <name val="Arial"/>
    </font>
    <font>
      <sz val="11.0"/>
      <color theme="1"/>
      <name val="Calibri"/>
    </font>
    <font>
      <b/>
      <sz val="14.0"/>
      <color rgb="FF185FA5"/>
      <name val="Arial"/>
    </font>
    <font>
      <b/>
      <sz val="15.0"/>
      <color rgb="FFFFFFFF"/>
      <name val="Arial"/>
    </font>
    <font>
      <b/>
      <sz val="11.0"/>
      <color rgb="FFFFFFFF"/>
      <name val="Arial"/>
    </font>
    <font>
      <b/>
      <sz val="11.0"/>
      <color rgb="FF3B6D11"/>
      <name val="Arial"/>
    </font>
    <font>
      <b/>
      <sz val="11.0"/>
      <color rgb="FF854F0B"/>
      <name val="Arial"/>
    </font>
    <font>
      <b/>
      <sz val="11.0"/>
      <color rgb="FFA32D2D"/>
      <name val="Arial"/>
    </font>
    <font>
      <b/>
      <sz val="10.0"/>
      <color rgb="FFA32D2D"/>
      <name val="Arial"/>
    </font>
    <font>
      <b/>
      <sz val="10.0"/>
      <color rgb="FF854F0B"/>
      <name val="Arial"/>
    </font>
    <font>
      <b/>
      <sz val="10.0"/>
      <color rgb="FF3B6D11"/>
      <name val="Arial"/>
    </font>
    <font>
      <b/>
      <sz val="14.0"/>
      <color rgb="FF000000"/>
      <name val="Arial"/>
    </font>
    <font>
      <i/>
      <sz val="10.0"/>
      <color rgb="FF000000"/>
      <name val="Arial"/>
    </font>
    <font>
      <b/>
      <sz val="10.0"/>
      <color rgb="FF000000"/>
      <name val="Arial"/>
    </font>
    <font>
      <b/>
      <sz val="16.0"/>
      <color rgb="FFA32D2D"/>
      <name val="Arial"/>
    </font>
    <font>
      <b/>
      <sz val="16.0"/>
      <color rgb="FF3B6D11"/>
      <name val="Arial"/>
    </font>
    <font>
      <b/>
      <sz val="11.0"/>
      <color rgb="FF000000"/>
      <name val="Arial"/>
    </font>
    <font>
      <b/>
      <sz val="10.0"/>
      <color rgb="FF444441"/>
      <name val="Arial"/>
    </font>
    <font>
      <b/>
      <color rgb="FF000000"/>
      <name val="'Trebuchet MS'"/>
    </font>
  </fonts>
  <fills count="13">
    <fill>
      <patternFill patternType="none"/>
    </fill>
    <fill>
      <patternFill patternType="lightGray"/>
    </fill>
    <fill>
      <patternFill patternType="solid">
        <fgColor rgb="FF185FA5"/>
        <bgColor rgb="FF185FA5"/>
      </patternFill>
    </fill>
    <fill>
      <patternFill patternType="solid">
        <fgColor rgb="FFE24B4A"/>
        <bgColor rgb="FFE24B4A"/>
      </patternFill>
    </fill>
    <fill>
      <patternFill patternType="solid">
        <fgColor rgb="FFFFFFFF"/>
        <bgColor rgb="FFFFFFFF"/>
      </patternFill>
    </fill>
    <fill>
      <patternFill patternType="solid">
        <fgColor rgb="FFF1EFE8"/>
        <bgColor rgb="FFF1EFE8"/>
      </patternFill>
    </fill>
    <fill>
      <patternFill patternType="solid">
        <fgColor rgb="FF1A3C5E"/>
        <bgColor rgb="FF1A3C5E"/>
      </patternFill>
    </fill>
    <fill>
      <patternFill patternType="solid">
        <fgColor rgb="FFE6F1FB"/>
        <bgColor rgb="FFE6F1FB"/>
      </patternFill>
    </fill>
    <fill>
      <patternFill patternType="solid">
        <fgColor rgb="FFEAF3DE"/>
        <bgColor rgb="FFEAF3DE"/>
      </patternFill>
    </fill>
    <fill>
      <patternFill patternType="solid">
        <fgColor rgb="FFFAEEDA"/>
        <bgColor rgb="FFFAEEDA"/>
      </patternFill>
    </fill>
    <fill>
      <patternFill patternType="solid">
        <fgColor rgb="FFFCEBEB"/>
        <bgColor rgb="FFFCEBEB"/>
      </patternFill>
    </fill>
    <fill>
      <patternFill patternType="solid">
        <fgColor rgb="FFD9EAD3"/>
        <bgColor rgb="FFD9EAD3"/>
      </patternFill>
    </fill>
    <fill>
      <patternFill patternType="solid">
        <fgColor rgb="FFD3D1C7"/>
        <bgColor rgb="FFD3D1C7"/>
      </patternFill>
    </fill>
  </fills>
  <borders count="9">
    <border/>
    <border>
      <left/>
      <top/>
      <bottom/>
    </border>
    <border>
      <top/>
      <bottom/>
    </border>
    <border>
      <right/>
      <top/>
      <bottom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left style="thin">
        <color rgb="FFCCCCCC"/>
      </left>
      <top style="thin">
        <color rgb="FFCCCCCC"/>
      </top>
      <bottom style="thin">
        <color rgb="FFCCCCCC"/>
      </bottom>
    </border>
    <border>
      <right/>
      <top style="thin">
        <color rgb="FFCCCCCC"/>
      </top>
      <bottom style="thin">
        <color rgb="FFCCCCCC"/>
      </bottom>
    </border>
    <border>
      <top style="thin">
        <color rgb="FFCCCCCC"/>
      </top>
      <bottom style="thin">
        <color rgb="FFCCCCCC"/>
      </bottom>
    </border>
    <border>
      <left style="thick">
        <color rgb="FFFF0000"/>
      </left>
      <right style="thick">
        <color rgb="FFFF0000"/>
      </right>
      <top style="thick">
        <color rgb="FFFF0000"/>
      </top>
      <bottom style="thick">
        <color rgb="FFFF0000"/>
      </bottom>
    </border>
  </borders>
  <cellStyleXfs count="1">
    <xf borderId="0" fillId="0" fontId="0" numFmtId="0" applyAlignment="1" applyFont="1"/>
  </cellStyleXfs>
  <cellXfs count="6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2" fillId="0" fontId="2" numFmtId="0" xfId="0" applyBorder="1" applyFont="1"/>
    <xf borderId="3" fillId="0" fontId="2" numFmtId="0" xfId="0" applyBorder="1" applyFont="1"/>
    <xf borderId="1" fillId="3" fontId="3" numFmtId="0" xfId="0" applyAlignment="1" applyBorder="1" applyFill="1" applyFont="1">
      <alignment horizontal="center" shrinkToFit="0" vertical="center" wrapText="1"/>
    </xf>
    <xf borderId="4" fillId="3" fontId="4" numFmtId="0" xfId="0" applyAlignment="1" applyBorder="1" applyFont="1">
      <alignment horizontal="center" shrinkToFit="0" vertical="center" wrapText="1"/>
    </xf>
    <xf borderId="4" fillId="3" fontId="5" numFmtId="0" xfId="0" applyAlignment="1" applyBorder="1" applyFont="1">
      <alignment horizontal="center" shrinkToFit="0" vertical="center" wrapText="1"/>
    </xf>
    <xf borderId="4" fillId="4" fontId="6" numFmtId="0" xfId="0" applyAlignment="1" applyBorder="1" applyFill="1" applyFont="1">
      <alignment horizontal="left" shrinkToFit="0" vertical="center" wrapText="0"/>
    </xf>
    <xf borderId="4" fillId="4" fontId="7" numFmtId="0" xfId="0" applyAlignment="1" applyBorder="1" applyFont="1">
      <alignment horizontal="center" shrinkToFit="0" vertical="center" wrapText="1"/>
    </xf>
    <xf borderId="4" fillId="4" fontId="8" numFmtId="0" xfId="0" applyAlignment="1" applyBorder="1" applyFont="1">
      <alignment horizontal="center" shrinkToFit="0" vertical="center" wrapText="1"/>
    </xf>
    <xf borderId="4" fillId="4" fontId="8" numFmtId="164" xfId="0" applyAlignment="1" applyBorder="1" applyFont="1" applyNumberFormat="1">
      <alignment horizontal="center" shrinkToFit="0" vertical="center" wrapText="1"/>
    </xf>
    <xf borderId="4" fillId="4" fontId="6" numFmtId="0" xfId="0" applyAlignment="1" applyBorder="1" applyFont="1">
      <alignment horizontal="center" shrinkToFit="0" vertical="center" wrapText="1"/>
    </xf>
    <xf borderId="4" fillId="4" fontId="7" numFmtId="165" xfId="0" applyAlignment="1" applyBorder="1" applyFont="1" applyNumberFormat="1">
      <alignment horizontal="center" shrinkToFit="0" vertical="center" wrapText="1"/>
    </xf>
    <xf borderId="4" fillId="5" fontId="6" numFmtId="0" xfId="0" applyAlignment="1" applyBorder="1" applyFill="1" applyFont="1">
      <alignment horizontal="left" shrinkToFit="0" vertical="center" wrapText="0"/>
    </xf>
    <xf borderId="4" fillId="5" fontId="7" numFmtId="0" xfId="0" applyAlignment="1" applyBorder="1" applyFont="1">
      <alignment horizontal="center" shrinkToFit="0" vertical="center" wrapText="1"/>
    </xf>
    <xf borderId="4" fillId="5" fontId="8" numFmtId="0" xfId="0" applyAlignment="1" applyBorder="1" applyFont="1">
      <alignment horizontal="center" shrinkToFit="0" vertical="center" wrapText="1"/>
    </xf>
    <xf borderId="4" fillId="5" fontId="8" numFmtId="164" xfId="0" applyAlignment="1" applyBorder="1" applyFont="1" applyNumberFormat="1">
      <alignment horizontal="center" shrinkToFit="0" vertical="center" wrapText="1"/>
    </xf>
    <xf borderId="4" fillId="5" fontId="6" numFmtId="0" xfId="0" applyAlignment="1" applyBorder="1" applyFont="1">
      <alignment horizontal="center" shrinkToFit="0" vertical="center" wrapText="1"/>
    </xf>
    <xf borderId="4" fillId="5" fontId="7" numFmtId="165" xfId="0" applyAlignment="1" applyBorder="1" applyFont="1" applyNumberFormat="1">
      <alignment horizontal="center" shrinkToFit="0" vertical="center" wrapText="1"/>
    </xf>
    <xf borderId="4" fillId="4" fontId="7" numFmtId="0" xfId="0" applyAlignment="1" applyBorder="1" applyFont="1">
      <alignment horizontal="left" shrinkToFit="0" vertical="center" wrapText="0"/>
    </xf>
    <xf borderId="4" fillId="5" fontId="7" numFmtId="0" xfId="0" applyAlignment="1" applyBorder="1" applyFont="1">
      <alignment horizontal="left" shrinkToFit="0" vertical="center" wrapText="0"/>
    </xf>
    <xf borderId="0" fillId="0" fontId="9" numFmtId="0" xfId="0" applyFont="1"/>
    <xf borderId="5" fillId="6" fontId="4" numFmtId="0" xfId="0" applyAlignment="1" applyBorder="1" applyFill="1" applyFont="1">
      <alignment horizontal="left" shrinkToFit="0" vertical="center" wrapText="0"/>
    </xf>
    <xf borderId="6" fillId="0" fontId="2" numFmtId="0" xfId="0" applyBorder="1" applyFont="1"/>
    <xf borderId="4" fillId="6" fontId="10" numFmtId="0" xfId="0" applyAlignment="1" applyBorder="1" applyFont="1">
      <alignment horizontal="center" shrinkToFit="0" vertical="center" wrapText="1"/>
    </xf>
    <xf borderId="5" fillId="7" fontId="11" numFmtId="0" xfId="0" applyAlignment="1" applyBorder="1" applyFill="1" applyFont="1">
      <alignment shrinkToFit="0" vertical="bottom" wrapText="0"/>
    </xf>
    <xf borderId="4" fillId="7" fontId="12" numFmtId="0" xfId="0" applyAlignment="1" applyBorder="1" applyFont="1">
      <alignment horizontal="center" shrinkToFit="0" vertical="center" wrapText="1"/>
    </xf>
    <xf borderId="4" fillId="7" fontId="12" numFmtId="164" xfId="0" applyAlignment="1" applyBorder="1" applyFont="1" applyNumberFormat="1">
      <alignment horizontal="center" shrinkToFit="0" vertical="center" wrapText="1"/>
    </xf>
    <xf borderId="1" fillId="6" fontId="13" numFmtId="0" xfId="0" applyAlignment="1" applyBorder="1" applyFont="1">
      <alignment horizontal="center" shrinkToFit="0" vertical="center" wrapText="1"/>
    </xf>
    <xf borderId="1" fillId="2" fontId="3" numFmtId="0" xfId="0" applyAlignment="1" applyBorder="1" applyFont="1">
      <alignment horizontal="center" shrinkToFit="0" vertical="center" wrapText="1"/>
    </xf>
    <xf borderId="5" fillId="2" fontId="14" numFmtId="0" xfId="0" applyAlignment="1" applyBorder="1" applyFont="1">
      <alignment horizontal="left" shrinkToFit="0" vertical="center" wrapText="0"/>
    </xf>
    <xf borderId="7" fillId="0" fontId="2" numFmtId="0" xfId="0" applyBorder="1" applyFont="1"/>
    <xf borderId="4" fillId="8" fontId="15" numFmtId="0" xfId="0" applyAlignment="1" applyBorder="1" applyFill="1" applyFont="1">
      <alignment horizontal="left" shrinkToFit="0" vertical="center" wrapText="0"/>
    </xf>
    <xf borderId="5" fillId="8" fontId="7" numFmtId="0" xfId="0" applyAlignment="1" applyBorder="1" applyFont="1">
      <alignment horizontal="left" shrinkToFit="0" vertical="center" wrapText="1"/>
    </xf>
    <xf borderId="4" fillId="9" fontId="16" numFmtId="0" xfId="0" applyAlignment="1" applyBorder="1" applyFill="1" applyFont="1">
      <alignment horizontal="left" shrinkToFit="0" vertical="center" wrapText="0"/>
    </xf>
    <xf borderId="5" fillId="9" fontId="7" numFmtId="0" xfId="0" applyAlignment="1" applyBorder="1" applyFont="1">
      <alignment horizontal="left" shrinkToFit="0" vertical="center" wrapText="1"/>
    </xf>
    <xf borderId="4" fillId="10" fontId="17" numFmtId="0" xfId="0" applyAlignment="1" applyBorder="1" applyFill="1" applyFont="1">
      <alignment horizontal="left" shrinkToFit="0" vertical="center" wrapText="0"/>
    </xf>
    <xf borderId="5" fillId="10" fontId="7" numFmtId="0" xfId="0" applyAlignment="1" applyBorder="1" applyFont="1">
      <alignment horizontal="left" shrinkToFit="0" vertical="center" wrapText="1"/>
    </xf>
    <xf borderId="5" fillId="6" fontId="14" numFmtId="0" xfId="0" applyAlignment="1" applyBorder="1" applyFont="1">
      <alignment horizontal="center" shrinkToFit="0" vertical="center" wrapText="1"/>
    </xf>
    <xf borderId="4" fillId="10" fontId="17" numFmtId="0" xfId="0" applyAlignment="1" applyBorder="1" applyFont="1">
      <alignment horizontal="center" shrinkToFit="0" vertical="center" wrapText="1"/>
    </xf>
    <xf borderId="4" fillId="10" fontId="18" numFmtId="0" xfId="0" applyAlignment="1" applyBorder="1" applyFont="1">
      <alignment horizontal="center" shrinkToFit="0" vertical="center" wrapText="1"/>
    </xf>
    <xf borderId="4" fillId="9" fontId="16" numFmtId="0" xfId="0" applyAlignment="1" applyBorder="1" applyFont="1">
      <alignment horizontal="center" shrinkToFit="0" vertical="center" wrapText="1"/>
    </xf>
    <xf borderId="4" fillId="9" fontId="19" numFmtId="0" xfId="0" applyAlignment="1" applyBorder="1" applyFont="1">
      <alignment horizontal="center" shrinkToFit="0" vertical="center" wrapText="1"/>
    </xf>
    <xf borderId="4" fillId="8" fontId="15" numFmtId="0" xfId="0" applyAlignment="1" applyBorder="1" applyFont="1">
      <alignment horizontal="center" shrinkToFit="0" vertical="center" wrapText="1"/>
    </xf>
    <xf borderId="4" fillId="8" fontId="20" numFmtId="0" xfId="0" applyAlignment="1" applyBorder="1" applyFont="1">
      <alignment horizontal="center" shrinkToFit="0" vertical="center" wrapText="1"/>
    </xf>
    <xf borderId="1" fillId="11" fontId="21" numFmtId="0" xfId="0" applyAlignment="1" applyBorder="1" applyFill="1" applyFont="1">
      <alignment horizontal="center" shrinkToFit="0" vertical="center" wrapText="1"/>
    </xf>
    <xf borderId="1" fillId="11" fontId="22" numFmtId="0" xfId="0" applyAlignment="1" applyBorder="1" applyFont="1">
      <alignment horizontal="center" shrinkToFit="0" vertical="center" wrapText="1"/>
    </xf>
    <xf borderId="4" fillId="11" fontId="23" numFmtId="0" xfId="0" applyAlignment="1" applyBorder="1" applyFont="1">
      <alignment horizontal="center" shrinkToFit="0" vertical="center" wrapText="1"/>
    </xf>
    <xf borderId="4" fillId="10" fontId="17" numFmtId="0" xfId="0" applyAlignment="1" applyBorder="1" applyFont="1">
      <alignment horizontal="left" readingOrder="0" shrinkToFit="0" vertical="center" wrapText="0"/>
    </xf>
    <xf borderId="4" fillId="10" fontId="24" numFmtId="0" xfId="0" applyAlignment="1" applyBorder="1" applyFont="1">
      <alignment horizontal="center" shrinkToFit="0" vertical="center" wrapText="1"/>
    </xf>
    <xf borderId="4" fillId="10" fontId="7" numFmtId="0" xfId="0" applyAlignment="1" applyBorder="1" applyFont="1">
      <alignment horizontal="left" shrinkToFit="0" vertical="center" wrapText="1"/>
    </xf>
    <xf borderId="4" fillId="8" fontId="15" numFmtId="0" xfId="0" applyAlignment="1" applyBorder="1" applyFont="1">
      <alignment horizontal="left" readingOrder="0" shrinkToFit="0" vertical="center" wrapText="0"/>
    </xf>
    <xf borderId="4" fillId="8" fontId="25" numFmtId="0" xfId="0" applyAlignment="1" applyBorder="1" applyFont="1">
      <alignment horizontal="center" shrinkToFit="0" vertical="center" wrapText="1"/>
    </xf>
    <xf borderId="4" fillId="8" fontId="7" numFmtId="0" xfId="0" applyAlignment="1" applyBorder="1" applyFont="1">
      <alignment horizontal="left" shrinkToFit="0" vertical="center" wrapText="1"/>
    </xf>
    <xf borderId="5" fillId="11" fontId="26" numFmtId="0" xfId="0" applyAlignment="1" applyBorder="1" applyFont="1">
      <alignment horizontal="center" shrinkToFit="0" vertical="center" wrapText="1"/>
    </xf>
    <xf borderId="4" fillId="12" fontId="27" numFmtId="0" xfId="0" applyAlignment="1" applyBorder="1" applyFill="1" applyFont="1">
      <alignment horizontal="left" shrinkToFit="0" vertical="center" wrapText="0"/>
    </xf>
    <xf borderId="5" fillId="7" fontId="7" numFmtId="0" xfId="0" applyAlignment="1" applyBorder="1" applyFont="1">
      <alignment horizontal="left" shrinkToFit="0" vertical="center" wrapText="0"/>
    </xf>
    <xf borderId="5" fillId="4" fontId="7" numFmtId="0" xfId="0" applyAlignment="1" applyBorder="1" applyFont="1">
      <alignment horizontal="left" shrinkToFit="0" vertical="center" wrapText="0"/>
    </xf>
    <xf borderId="5" fillId="7" fontId="8" numFmtId="0" xfId="0" applyAlignment="1" applyBorder="1" applyFont="1">
      <alignment horizontal="left" shrinkToFit="0" vertical="center" wrapText="0"/>
    </xf>
    <xf borderId="5" fillId="10" fontId="17" numFmtId="0" xfId="0" applyAlignment="1" applyBorder="1" applyFont="1">
      <alignment horizontal="left" shrinkToFit="0" vertical="center" wrapText="0"/>
    </xf>
    <xf borderId="8" fillId="0" fontId="28" numFmtId="0" xfId="0" applyAlignment="1" applyBorder="1" applyFont="1">
      <alignment horizontal="left" readingOrder="0" shrinkToFit="0" wrapText="1"/>
    </xf>
    <xf borderId="8" fillId="0" fontId="28" numFmtId="0" xfId="0" applyAlignment="1" applyBorder="1" applyFont="1">
      <alignment horizontal="center" readingOrder="0" shrinkToFit="0" wrapText="1"/>
    </xf>
    <xf borderId="8" fillId="0" fontId="28" numFmtId="9" xfId="0" applyAlignment="1" applyBorder="1" applyFont="1" applyNumberFormat="1">
      <alignment horizontal="left" readingOrder="0" shrinkToFit="0" wrapText="1"/>
    </xf>
    <xf borderId="4" fillId="2" fontId="4" numFmtId="0" xfId="0" applyAlignment="1" applyBorder="1" applyFont="1">
      <alignment horizontal="center" shrinkToFit="0" vertical="center" wrapText="1"/>
    </xf>
    <xf borderId="4" fillId="2" fontId="5" numFmtId="0" xfId="0" applyAlignment="1" applyBorder="1" applyFont="1">
      <alignment horizontal="center" shrinkToFit="0" vertical="center" wrapText="1"/>
    </xf>
    <xf borderId="4" fillId="4" fontId="11" numFmtId="0" xfId="0" applyAlignment="1" applyBorder="1" applyFont="1">
      <alignment horizontal="left" shrinkToFit="0" vertical="center" wrapText="0"/>
    </xf>
    <xf borderId="4" fillId="4" fontId="11" numFmtId="0" xfId="0" applyAlignment="1" applyBorder="1" applyFont="1">
      <alignment horizontal="center" shrinkToFit="0" vertical="center" wrapText="1"/>
    </xf>
    <xf borderId="4" fillId="5" fontId="11" numFmtId="0" xfId="0" applyAlignment="1" applyBorder="1" applyFont="1">
      <alignment horizontal="left" shrinkToFit="0" vertical="center" wrapText="0"/>
    </xf>
    <xf borderId="4" fillId="5" fontId="11" numFmtId="0" xfId="0" applyAlignment="1" applyBorder="1" applyFont="1">
      <alignment horizontal="center" shrinkToFit="0" vertical="center" wrapText="1"/>
    </xf>
  </cellXfs>
  <cellStyles count="1">
    <cellStyle xfId="0" name="Normal" builtinId="0"/>
  </cellStyles>
  <dxfs count="10">
    <dxf>
      <font>
        <b/>
        <color rgb="FFA32D2D"/>
        <name val="Arial"/>
      </font>
      <fill>
        <patternFill patternType="solid">
          <fgColor rgb="FFFCEBEB"/>
          <bgColor rgb="FFFCEBEB"/>
        </patternFill>
      </fill>
      <border/>
    </dxf>
    <dxf>
      <font>
        <b/>
        <color rgb="FF854F0B"/>
        <name val="Arial"/>
      </font>
      <fill>
        <patternFill patternType="solid">
          <fgColor rgb="FFFAEEDA"/>
          <bgColor rgb="FFFAEEDA"/>
        </patternFill>
      </fill>
      <border/>
    </dxf>
    <dxf>
      <font>
        <b/>
        <color rgb="FF3B6D11"/>
        <name val="Arial"/>
      </font>
      <fill>
        <patternFill patternType="solid">
          <fgColor rgb="FFEAF3DE"/>
          <bgColor rgb="FFEAF3DE"/>
        </patternFill>
      </fill>
      <border/>
    </dxf>
    <dxf>
      <font>
        <b/>
        <color rgb="FFA32D2D"/>
        <name val="Arial"/>
      </font>
      <fill>
        <patternFill patternType="solid">
          <fgColor rgb="FFFFF0F0"/>
          <bgColor rgb="FFFFF0F0"/>
        </patternFill>
      </fill>
      <border/>
    </dxf>
    <dxf>
      <font>
        <b/>
        <color rgb="FF854F0B"/>
        <name val="Arial"/>
      </font>
      <fill>
        <patternFill patternType="solid">
          <fgColor rgb="FFFFFAED"/>
          <bgColor rgb="FFFFFAED"/>
        </patternFill>
      </fill>
      <border/>
    </dxf>
    <dxf>
      <font>
        <b/>
        <color rgb="FF3B6D11"/>
        <name val="Arial"/>
      </font>
      <fill>
        <patternFill patternType="solid">
          <fgColor rgb="FFF0FAE8"/>
          <bgColor rgb="FFF0FAE8"/>
        </patternFill>
      </fill>
      <border/>
    </dxf>
    <dxf>
      <font/>
      <fill>
        <patternFill patternType="none"/>
      </fill>
      <border/>
    </dxf>
    <dxf>
      <font/>
      <fill>
        <patternFill patternType="solid">
          <fgColor rgb="FF63D297"/>
          <bgColor rgb="FF63D297"/>
        </patternFill>
      </fill>
      <border/>
    </dxf>
    <dxf>
      <font/>
      <fill>
        <patternFill patternType="solid">
          <fgColor rgb="FF185FA5"/>
          <bgColor rgb="FF185FA5"/>
        </patternFill>
      </fill>
      <border/>
    </dxf>
    <dxf>
      <font/>
      <fill>
        <patternFill patternType="solid">
          <fgColor rgb="FF00FF00"/>
          <bgColor rgb="FF00FF00"/>
        </patternFill>
      </fill>
      <border/>
    </dxf>
  </dxfs>
  <tableStyles count="1">
    <tableStyle count="3" pivot="0" name="Blank Template-style">
      <tableStyleElement dxfId="7" type="headerRow"/>
      <tableStyleElement dxfId="8" type="firstRowStripe"/>
      <tableStyleElement dxfId="9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4:I5" displayName="Table_1" name="Table_1" id="1">
  <tableColumns count="9">
    <tableColumn name="Vendor Name" id="1"/>
    <tableColumn name="Category" id="2"/>
    <tableColumn name="Data Access_x000a_(1-3)" id="3"/>
    <tableColumn name="Integration_x000a_Depth (1-3)" id="4"/>
    <tableColumn name="Business_x000a_Criticality (1-3)" id="5"/>
    <tableColumn name="Security_x000a_Posture (1-3)" id="6"/>
    <tableColumn name="Weighted_x000a_Score" id="7"/>
    <tableColumn name="Risk Level" id="8"/>
    <tableColumn name="Last Assessed" id="9"/>
  </tableColumns>
  <tableStyleInfo name="Blank Template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1A3C5E"/>
    <pageSetUpPr/>
  </sheetPr>
  <sheetViews>
    <sheetView showGridLines="0" workbookViewId="0">
      <pane ySplit="5.0" topLeftCell="A6" activePane="bottomLeft" state="frozen"/>
      <selection activeCell="B7" sqref="B7" pane="bottomLeft"/>
    </sheetView>
  </sheetViews>
  <sheetFormatPr customHeight="1" defaultColWidth="14.43" defaultRowHeight="15.0"/>
  <cols>
    <col customWidth="1" min="1" max="1" width="22.0"/>
    <col customWidth="1" min="2" max="2" width="14.0"/>
    <col customWidth="1" min="3" max="3" width="13.0"/>
    <col customWidth="1" min="4" max="5" width="14.0"/>
    <col customWidth="1" min="6" max="8" width="13.0"/>
    <col customWidth="1" min="9" max="9" width="14.0"/>
    <col customWidth="1" min="10" max="26" width="8.71"/>
  </cols>
  <sheetData>
    <row r="1" ht="37.5" customHeight="1">
      <c r="A1" s="1" t="s">
        <v>0</v>
      </c>
      <c r="B1" s="2"/>
      <c r="C1" s="2"/>
      <c r="D1" s="2"/>
      <c r="E1" s="2"/>
      <c r="F1" s="2"/>
      <c r="G1" s="2"/>
      <c r="H1" s="2"/>
      <c r="I1" s="3"/>
    </row>
    <row r="2" ht="21.75" customHeight="1">
      <c r="A2" s="4" t="s">
        <v>1</v>
      </c>
      <c r="B2" s="2"/>
      <c r="C2" s="2"/>
      <c r="D2" s="2"/>
      <c r="E2" s="2"/>
      <c r="F2" s="2"/>
      <c r="G2" s="2"/>
      <c r="H2" s="2"/>
      <c r="I2" s="3"/>
    </row>
    <row r="3" ht="6.0" customHeight="1"/>
    <row r="4" ht="42.0" customHeight="1">
      <c r="A4" s="5" t="s">
        <v>2</v>
      </c>
      <c r="B4" s="5" t="s">
        <v>3</v>
      </c>
      <c r="C4" s="5" t="s">
        <v>4</v>
      </c>
      <c r="D4" s="5" t="s">
        <v>5</v>
      </c>
      <c r="E4" s="5" t="s">
        <v>6</v>
      </c>
      <c r="F4" s="5" t="s">
        <v>7</v>
      </c>
      <c r="G4" s="5" t="s">
        <v>8</v>
      </c>
      <c r="H4" s="5" t="s">
        <v>9</v>
      </c>
      <c r="I4" s="5" t="s">
        <v>10</v>
      </c>
    </row>
    <row r="5" ht="18.0" customHeight="1">
      <c r="A5" s="6"/>
      <c r="B5" s="6"/>
      <c r="C5" s="6" t="s">
        <v>11</v>
      </c>
      <c r="D5" s="6" t="s">
        <v>12</v>
      </c>
      <c r="E5" s="6" t="s">
        <v>13</v>
      </c>
      <c r="F5" s="6" t="s">
        <v>14</v>
      </c>
      <c r="G5" s="6" t="s">
        <v>15</v>
      </c>
      <c r="H5" s="6" t="s">
        <v>16</v>
      </c>
      <c r="I5" s="6"/>
    </row>
    <row r="6" ht="21.75" customHeight="1">
      <c r="A6" s="7" t="s">
        <v>17</v>
      </c>
      <c r="B6" s="8" t="s">
        <v>18</v>
      </c>
      <c r="C6" s="9">
        <v>3.0</v>
      </c>
      <c r="D6" s="9">
        <v>3.0</v>
      </c>
      <c r="E6" s="9">
        <v>3.0</v>
      </c>
      <c r="F6" s="9">
        <v>1.0</v>
      </c>
      <c r="G6" s="10">
        <f t="shared" ref="G6:G13" si="1">IF(AND(ISNUMBER(C6),ISNUMBER(D6),ISNUMBER(E6),ISNUMBER(F6)),(C6*0.4)+(D6*0.3)+(E6*0.2)+(F6*0.1),"")</f>
        <v>2.8</v>
      </c>
      <c r="H6" s="11" t="str">
        <f t="shared" ref="H6:H13" si="2">IF(G6="","",IF(G6&gt;=2.5,"HIGH",IF(G6&gt;=1.5,"MEDIUM","LOW")))</f>
        <v>HIGH</v>
      </c>
      <c r="I6" s="12" t="s">
        <v>19</v>
      </c>
    </row>
    <row r="7" ht="21.75" customHeight="1">
      <c r="A7" s="13" t="s">
        <v>20</v>
      </c>
      <c r="B7" s="14" t="s">
        <v>21</v>
      </c>
      <c r="C7" s="15">
        <v>3.0</v>
      </c>
      <c r="D7" s="15">
        <v>3.0</v>
      </c>
      <c r="E7" s="15">
        <v>3.0</v>
      </c>
      <c r="F7" s="15">
        <v>2.0</v>
      </c>
      <c r="G7" s="16">
        <f t="shared" si="1"/>
        <v>2.9</v>
      </c>
      <c r="H7" s="17" t="str">
        <f t="shared" si="2"/>
        <v>HIGH</v>
      </c>
      <c r="I7" s="18" t="s">
        <v>22</v>
      </c>
    </row>
    <row r="8" ht="21.75" customHeight="1">
      <c r="A8" s="7" t="s">
        <v>23</v>
      </c>
      <c r="B8" s="8" t="s">
        <v>21</v>
      </c>
      <c r="C8" s="9">
        <v>3.0</v>
      </c>
      <c r="D8" s="9">
        <v>3.0</v>
      </c>
      <c r="E8" s="9">
        <v>2.0</v>
      </c>
      <c r="F8" s="9">
        <v>1.0</v>
      </c>
      <c r="G8" s="10">
        <f t="shared" si="1"/>
        <v>2.6</v>
      </c>
      <c r="H8" s="11" t="str">
        <f t="shared" si="2"/>
        <v>HIGH</v>
      </c>
      <c r="I8" s="12" t="s">
        <v>24</v>
      </c>
    </row>
    <row r="9" ht="21.75" customHeight="1">
      <c r="A9" s="13" t="s">
        <v>25</v>
      </c>
      <c r="B9" s="14" t="s">
        <v>21</v>
      </c>
      <c r="C9" s="15">
        <v>2.0</v>
      </c>
      <c r="D9" s="15">
        <v>2.0</v>
      </c>
      <c r="E9" s="15">
        <v>2.0</v>
      </c>
      <c r="F9" s="15">
        <v>1.0</v>
      </c>
      <c r="G9" s="16">
        <f t="shared" si="1"/>
        <v>1.9</v>
      </c>
      <c r="H9" s="17" t="str">
        <f t="shared" si="2"/>
        <v>MEDIUM</v>
      </c>
      <c r="I9" s="18" t="s">
        <v>26</v>
      </c>
    </row>
    <row r="10" ht="21.75" customHeight="1">
      <c r="A10" s="7" t="s">
        <v>27</v>
      </c>
      <c r="B10" s="8" t="s">
        <v>21</v>
      </c>
      <c r="C10" s="9">
        <v>2.0</v>
      </c>
      <c r="D10" s="9">
        <v>2.0</v>
      </c>
      <c r="E10" s="9">
        <v>2.0</v>
      </c>
      <c r="F10" s="9">
        <v>1.0</v>
      </c>
      <c r="G10" s="10">
        <f t="shared" si="1"/>
        <v>1.9</v>
      </c>
      <c r="H10" s="11" t="str">
        <f t="shared" si="2"/>
        <v>MEDIUM</v>
      </c>
      <c r="I10" s="12" t="s">
        <v>26</v>
      </c>
    </row>
    <row r="11" ht="21.75" customHeight="1">
      <c r="A11" s="13" t="s">
        <v>28</v>
      </c>
      <c r="B11" s="14" t="s">
        <v>21</v>
      </c>
      <c r="C11" s="15">
        <v>2.0</v>
      </c>
      <c r="D11" s="15">
        <v>2.0</v>
      </c>
      <c r="E11" s="15">
        <v>1.0</v>
      </c>
      <c r="F11" s="15">
        <v>1.0</v>
      </c>
      <c r="G11" s="16">
        <f t="shared" si="1"/>
        <v>1.7</v>
      </c>
      <c r="H11" s="17" t="str">
        <f t="shared" si="2"/>
        <v>MEDIUM</v>
      </c>
      <c r="I11" s="18" t="s">
        <v>29</v>
      </c>
    </row>
    <row r="12" ht="21.75" customHeight="1">
      <c r="A12" s="7" t="s">
        <v>30</v>
      </c>
      <c r="B12" s="8" t="s">
        <v>31</v>
      </c>
      <c r="C12" s="9">
        <v>1.0</v>
      </c>
      <c r="D12" s="9">
        <v>1.0</v>
      </c>
      <c r="E12" s="9">
        <v>1.0</v>
      </c>
      <c r="F12" s="9">
        <v>3.0</v>
      </c>
      <c r="G12" s="10">
        <f t="shared" si="1"/>
        <v>1.2</v>
      </c>
      <c r="H12" s="11" t="str">
        <f t="shared" si="2"/>
        <v>LOW</v>
      </c>
      <c r="I12" s="12" t="s">
        <v>29</v>
      </c>
    </row>
    <row r="13" ht="21.75" customHeight="1">
      <c r="A13" s="13" t="s">
        <v>32</v>
      </c>
      <c r="B13" s="14" t="s">
        <v>31</v>
      </c>
      <c r="C13" s="15">
        <v>1.0</v>
      </c>
      <c r="D13" s="15">
        <v>1.0</v>
      </c>
      <c r="E13" s="15">
        <v>1.0</v>
      </c>
      <c r="F13" s="15">
        <v>3.0</v>
      </c>
      <c r="G13" s="16">
        <f t="shared" si="1"/>
        <v>1.2</v>
      </c>
      <c r="H13" s="17" t="str">
        <f t="shared" si="2"/>
        <v>LOW</v>
      </c>
      <c r="I13" s="18" t="s">
        <v>33</v>
      </c>
    </row>
    <row r="14" ht="21.75" customHeight="1">
      <c r="A14" s="19"/>
      <c r="B14" s="8"/>
      <c r="C14" s="9"/>
      <c r="D14" s="9"/>
      <c r="E14" s="9"/>
      <c r="F14" s="9"/>
      <c r="G14" s="10"/>
      <c r="H14" s="11"/>
      <c r="I14" s="8"/>
    </row>
    <row r="15" ht="21.75" customHeight="1">
      <c r="A15" s="20"/>
      <c r="B15" s="14"/>
      <c r="C15" s="15"/>
      <c r="D15" s="15"/>
      <c r="E15" s="15"/>
      <c r="F15" s="15"/>
      <c r="G15" s="16"/>
      <c r="H15" s="17"/>
      <c r="I15" s="14"/>
    </row>
    <row r="16" ht="7.5" customHeight="1">
      <c r="C16" s="21"/>
      <c r="D16" s="21"/>
      <c r="E16" s="21"/>
      <c r="F16" s="21"/>
    </row>
    <row r="17" ht="21.75" customHeight="1">
      <c r="A17" s="22" t="s">
        <v>34</v>
      </c>
      <c r="B17" s="23"/>
      <c r="C17" s="24" t="s">
        <v>35</v>
      </c>
      <c r="D17" s="24" t="s">
        <v>36</v>
      </c>
      <c r="E17" s="24" t="s">
        <v>37</v>
      </c>
      <c r="F17" s="24" t="s">
        <v>38</v>
      </c>
      <c r="G17" s="24" t="s">
        <v>39</v>
      </c>
      <c r="H17" s="24" t="s">
        <v>40</v>
      </c>
    </row>
    <row r="18" ht="25.5" customHeight="1">
      <c r="A18" s="25"/>
      <c r="B18" s="23"/>
      <c r="C18" s="26">
        <f>COUNTA(A6:A15)</f>
        <v>8</v>
      </c>
      <c r="D18" s="26">
        <f>COUNTIF(H6:H15,"HIGH")</f>
        <v>3</v>
      </c>
      <c r="E18" s="26">
        <f>COUNTIF(H6:H15,"MEDIUM")</f>
        <v>3</v>
      </c>
      <c r="F18" s="26">
        <f>COUNTIF(H6:H15,"LOW")</f>
        <v>2</v>
      </c>
      <c r="G18" s="27">
        <f>IFERROR(AVERAGE(G6:G15),"")</f>
        <v>2.025</v>
      </c>
      <c r="H18" s="26">
        <f>COUNTIF(I6:I15,"&lt;"&amp;(TODAY()-365))</f>
        <v>0</v>
      </c>
    </row>
    <row r="19">
      <c r="C19" s="21"/>
      <c r="D19" s="21"/>
      <c r="E19" s="21"/>
      <c r="F19" s="21"/>
    </row>
    <row r="20">
      <c r="C20" s="21"/>
      <c r="D20" s="21"/>
      <c r="E20" s="21"/>
      <c r="F20" s="21"/>
    </row>
    <row r="21" ht="15.75" customHeight="1">
      <c r="C21" s="21"/>
      <c r="D21" s="21"/>
      <c r="E21" s="21"/>
      <c r="F21" s="21"/>
    </row>
    <row r="22" ht="15.75" customHeight="1">
      <c r="C22" s="21"/>
      <c r="D22" s="21"/>
      <c r="E22" s="21"/>
      <c r="F22" s="21"/>
    </row>
    <row r="23" ht="15.75" customHeight="1">
      <c r="C23" s="21"/>
      <c r="D23" s="21"/>
      <c r="E23" s="21"/>
      <c r="F23" s="21"/>
    </row>
    <row r="24" ht="15.75" customHeight="1">
      <c r="C24" s="21"/>
      <c r="D24" s="21"/>
      <c r="E24" s="21"/>
      <c r="F24" s="21"/>
    </row>
    <row r="25" ht="15.75" customHeight="1">
      <c r="C25" s="21"/>
      <c r="D25" s="21"/>
      <c r="E25" s="21"/>
      <c r="F25" s="21"/>
    </row>
    <row r="26" ht="15.75" customHeight="1">
      <c r="C26" s="21"/>
      <c r="D26" s="21"/>
      <c r="E26" s="21"/>
      <c r="F26" s="21"/>
    </row>
    <row r="27" ht="15.75" customHeight="1">
      <c r="C27" s="21"/>
      <c r="D27" s="21"/>
      <c r="E27" s="21"/>
      <c r="F27" s="21"/>
    </row>
    <row r="28" ht="15.75" customHeight="1">
      <c r="C28" s="21"/>
      <c r="D28" s="21"/>
      <c r="E28" s="21"/>
      <c r="F28" s="21"/>
    </row>
    <row r="29" ht="15.75" customHeight="1">
      <c r="C29" s="21"/>
      <c r="D29" s="21"/>
      <c r="E29" s="21"/>
      <c r="F29" s="21"/>
    </row>
    <row r="30" ht="15.75" customHeight="1">
      <c r="C30" s="21"/>
      <c r="D30" s="21"/>
      <c r="E30" s="21"/>
      <c r="F30" s="21"/>
    </row>
    <row r="31" ht="15.75" customHeight="1">
      <c r="C31" s="21"/>
      <c r="D31" s="21"/>
      <c r="E31" s="21"/>
      <c r="F31" s="21"/>
    </row>
    <row r="32" ht="15.75" customHeight="1">
      <c r="C32" s="21"/>
      <c r="D32" s="21"/>
      <c r="E32" s="21"/>
      <c r="F32" s="21"/>
    </row>
    <row r="33" ht="15.75" customHeight="1">
      <c r="C33" s="21"/>
      <c r="D33" s="21"/>
      <c r="E33" s="21"/>
      <c r="F33" s="21"/>
    </row>
    <row r="34" ht="15.75" customHeight="1">
      <c r="C34" s="21"/>
      <c r="D34" s="21"/>
      <c r="E34" s="21"/>
      <c r="F34" s="21"/>
    </row>
    <row r="35" ht="15.75" customHeight="1">
      <c r="C35" s="21"/>
      <c r="D35" s="21"/>
      <c r="E35" s="21"/>
      <c r="F35" s="21"/>
    </row>
    <row r="36" ht="15.75" customHeight="1">
      <c r="C36" s="21"/>
      <c r="D36" s="21"/>
      <c r="E36" s="21"/>
      <c r="F36" s="21"/>
    </row>
    <row r="37" ht="15.75" customHeight="1">
      <c r="C37" s="21"/>
      <c r="D37" s="21"/>
      <c r="E37" s="21"/>
      <c r="F37" s="21"/>
    </row>
    <row r="38" ht="15.75" customHeight="1">
      <c r="C38" s="21"/>
      <c r="D38" s="21"/>
      <c r="E38" s="21"/>
      <c r="F38" s="21"/>
    </row>
    <row r="39" ht="15.75" customHeight="1">
      <c r="C39" s="21"/>
      <c r="D39" s="21"/>
      <c r="E39" s="21"/>
      <c r="F39" s="21"/>
    </row>
    <row r="40" ht="15.75" customHeight="1">
      <c r="C40" s="21"/>
      <c r="D40" s="21"/>
      <c r="E40" s="21"/>
      <c r="F40" s="21"/>
    </row>
    <row r="41" ht="15.75" customHeight="1">
      <c r="C41" s="21"/>
      <c r="D41" s="21"/>
      <c r="E41" s="21"/>
      <c r="F41" s="21"/>
    </row>
    <row r="42" ht="15.75" customHeight="1">
      <c r="C42" s="21"/>
      <c r="D42" s="21"/>
      <c r="E42" s="21"/>
      <c r="F42" s="21"/>
    </row>
    <row r="43" ht="15.75" customHeight="1">
      <c r="C43" s="21"/>
      <c r="D43" s="21"/>
      <c r="E43" s="21"/>
      <c r="F43" s="21"/>
    </row>
    <row r="44" ht="15.75" customHeight="1">
      <c r="C44" s="21"/>
      <c r="D44" s="21"/>
      <c r="E44" s="21"/>
      <c r="F44" s="21"/>
    </row>
    <row r="45" ht="15.75" customHeight="1">
      <c r="C45" s="21"/>
      <c r="D45" s="21"/>
      <c r="E45" s="21"/>
      <c r="F45" s="21"/>
    </row>
    <row r="46" ht="15.75" customHeight="1">
      <c r="C46" s="21"/>
      <c r="D46" s="21"/>
      <c r="E46" s="21"/>
      <c r="F46" s="21"/>
    </row>
    <row r="47" ht="15.75" customHeight="1">
      <c r="C47" s="21"/>
      <c r="D47" s="21"/>
      <c r="E47" s="21"/>
      <c r="F47" s="21"/>
    </row>
    <row r="48" ht="15.75" customHeight="1">
      <c r="C48" s="21"/>
      <c r="D48" s="21"/>
      <c r="E48" s="21"/>
      <c r="F48" s="21"/>
    </row>
    <row r="49" ht="15.75" customHeight="1">
      <c r="C49" s="21"/>
      <c r="D49" s="21"/>
      <c r="E49" s="21"/>
      <c r="F49" s="21"/>
    </row>
    <row r="50" ht="15.75" customHeight="1">
      <c r="C50" s="21"/>
      <c r="D50" s="21"/>
      <c r="E50" s="21"/>
      <c r="F50" s="21"/>
    </row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">
    <mergeCell ref="A1:I1"/>
    <mergeCell ref="A2:I2"/>
    <mergeCell ref="A17:B17"/>
    <mergeCell ref="A18:B18"/>
  </mergeCells>
  <conditionalFormatting sqref="H6:H15">
    <cfRule type="cellIs" dxfId="0" priority="1" operator="equal">
      <formula>"HIGH"</formula>
    </cfRule>
  </conditionalFormatting>
  <conditionalFormatting sqref="H6:H15">
    <cfRule type="cellIs" dxfId="1" priority="2" operator="equal">
      <formula>"MEDIUM"</formula>
    </cfRule>
  </conditionalFormatting>
  <conditionalFormatting sqref="H6:H15">
    <cfRule type="cellIs" dxfId="2" priority="3" operator="equal">
      <formula>"LOW"</formula>
    </cfRule>
  </conditionalFormatting>
  <conditionalFormatting sqref="G6:G15">
    <cfRule type="cellIs" dxfId="3" priority="4" operator="greaterThanOrEqual">
      <formula>2.5</formula>
    </cfRule>
  </conditionalFormatting>
  <conditionalFormatting sqref="G6:G15">
    <cfRule type="cellIs" dxfId="4" priority="5" operator="between">
      <formula>1.5</formula>
      <formula>2.49</formula>
    </cfRule>
  </conditionalFormatting>
  <conditionalFormatting sqref="G6:G15">
    <cfRule type="cellIs" dxfId="5" priority="6" operator="lessThan">
      <formula>1.5</formula>
    </cfRule>
  </conditionalFormatting>
  <dataValidations>
    <dataValidation type="decimal" allowBlank="1" showInputMessage="1" showErrorMessage="1" prompt="Invalid score - Please enter 1, 2, or 3" sqref="C6:F50">
      <formula1>1.0</formula1>
      <formula2>3.0</formula2>
    </dataValidation>
  </dataValidations>
  <printOptions/>
  <pageMargins bottom="1.0" footer="0.0" header="0.0" left="0.75" right="0.75" top="1.0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185FA5"/>
    <pageSetUpPr/>
  </sheetPr>
  <sheetViews>
    <sheetView showGridLines="0" workbookViewId="0"/>
  </sheetViews>
  <sheetFormatPr customHeight="1" defaultColWidth="14.43" defaultRowHeight="15.0"/>
  <cols>
    <col customWidth="1" min="1" max="1" width="24.0"/>
    <col customWidth="1" min="2" max="2" width="8.0"/>
    <col customWidth="1" min="3" max="3" width="36.0"/>
    <col customWidth="1" min="4" max="4" width="8.0"/>
    <col customWidth="1" min="5" max="5" width="10.0"/>
    <col customWidth="1" min="6" max="26" width="8.71"/>
  </cols>
  <sheetData>
    <row r="1" ht="36.0" customHeight="1">
      <c r="A1" s="28" t="s">
        <v>41</v>
      </c>
      <c r="B1" s="2"/>
      <c r="C1" s="2"/>
      <c r="D1" s="2"/>
      <c r="E1" s="3"/>
    </row>
    <row r="2" ht="19.5" customHeight="1">
      <c r="A2" s="29" t="s">
        <v>42</v>
      </c>
      <c r="B2" s="2"/>
      <c r="C2" s="2"/>
      <c r="D2" s="2"/>
      <c r="E2" s="3"/>
    </row>
    <row r="4" ht="7.5" customHeight="1"/>
    <row r="5" ht="25.5" customHeight="1">
      <c r="A5" s="30" t="s">
        <v>43</v>
      </c>
      <c r="B5" s="31"/>
      <c r="C5" s="31"/>
      <c r="D5" s="31"/>
      <c r="E5" s="23"/>
    </row>
    <row r="6" ht="33.75" customHeight="1">
      <c r="A6" s="32" t="s">
        <v>44</v>
      </c>
      <c r="B6" s="33" t="s">
        <v>45</v>
      </c>
      <c r="C6" s="31"/>
      <c r="D6" s="31"/>
      <c r="E6" s="23"/>
    </row>
    <row r="7" ht="33.75" customHeight="1">
      <c r="A7" s="34" t="s">
        <v>46</v>
      </c>
      <c r="B7" s="35" t="s">
        <v>47</v>
      </c>
      <c r="C7" s="31"/>
      <c r="D7" s="31"/>
      <c r="E7" s="23"/>
    </row>
    <row r="8" ht="33.75" customHeight="1">
      <c r="A8" s="36" t="s">
        <v>48</v>
      </c>
      <c r="B8" s="37" t="s">
        <v>49</v>
      </c>
      <c r="C8" s="31"/>
      <c r="D8" s="31"/>
      <c r="E8" s="23"/>
    </row>
    <row r="9" ht="7.5" customHeight="1"/>
    <row r="10" ht="25.5" customHeight="1">
      <c r="A10" s="30" t="s">
        <v>50</v>
      </c>
      <c r="B10" s="31"/>
      <c r="C10" s="31"/>
      <c r="D10" s="31"/>
      <c r="E10" s="23"/>
    </row>
    <row r="11" ht="33.75" customHeight="1">
      <c r="A11" s="32" t="s">
        <v>51</v>
      </c>
      <c r="B11" s="33" t="s">
        <v>52</v>
      </c>
      <c r="C11" s="31"/>
      <c r="D11" s="31"/>
      <c r="E11" s="23"/>
    </row>
    <row r="12" ht="33.75" customHeight="1">
      <c r="A12" s="34" t="s">
        <v>53</v>
      </c>
      <c r="B12" s="35" t="s">
        <v>54</v>
      </c>
      <c r="C12" s="31"/>
      <c r="D12" s="31"/>
      <c r="E12" s="23"/>
    </row>
    <row r="13" ht="33.75" customHeight="1">
      <c r="A13" s="36" t="s">
        <v>55</v>
      </c>
      <c r="B13" s="37" t="s">
        <v>56</v>
      </c>
      <c r="C13" s="31"/>
      <c r="D13" s="31"/>
      <c r="E13" s="23"/>
    </row>
    <row r="14" ht="7.5" customHeight="1"/>
    <row r="15" ht="25.5" customHeight="1">
      <c r="A15" s="30" t="s">
        <v>57</v>
      </c>
      <c r="B15" s="31"/>
      <c r="C15" s="31"/>
      <c r="D15" s="31"/>
      <c r="E15" s="23"/>
    </row>
    <row r="16" ht="33.75" customHeight="1">
      <c r="A16" s="32" t="s">
        <v>58</v>
      </c>
      <c r="B16" s="33" t="s">
        <v>59</v>
      </c>
      <c r="C16" s="31"/>
      <c r="D16" s="31"/>
      <c r="E16" s="23"/>
    </row>
    <row r="17" ht="33.75" customHeight="1">
      <c r="A17" s="34" t="s">
        <v>60</v>
      </c>
      <c r="B17" s="35" t="s">
        <v>61</v>
      </c>
      <c r="C17" s="31"/>
      <c r="D17" s="31"/>
      <c r="E17" s="23"/>
    </row>
    <row r="18" ht="33.75" customHeight="1">
      <c r="A18" s="36" t="s">
        <v>62</v>
      </c>
      <c r="B18" s="37" t="s">
        <v>63</v>
      </c>
      <c r="C18" s="31"/>
      <c r="D18" s="31"/>
      <c r="E18" s="23"/>
    </row>
    <row r="19" ht="7.5" customHeight="1"/>
    <row r="20" ht="25.5" customHeight="1">
      <c r="A20" s="30" t="s">
        <v>64</v>
      </c>
      <c r="B20" s="31"/>
      <c r="C20" s="31"/>
      <c r="D20" s="31"/>
      <c r="E20" s="23"/>
    </row>
    <row r="21" ht="33.75" customHeight="1">
      <c r="A21" s="32" t="s">
        <v>65</v>
      </c>
      <c r="B21" s="33" t="s">
        <v>66</v>
      </c>
      <c r="C21" s="31"/>
      <c r="D21" s="31"/>
      <c r="E21" s="23"/>
    </row>
    <row r="22" ht="33.75" customHeight="1">
      <c r="A22" s="34" t="s">
        <v>67</v>
      </c>
      <c r="B22" s="35" t="s">
        <v>68</v>
      </c>
      <c r="C22" s="31"/>
      <c r="D22" s="31"/>
      <c r="E22" s="23"/>
    </row>
    <row r="23" ht="33.75" customHeight="1">
      <c r="A23" s="36" t="s">
        <v>69</v>
      </c>
      <c r="B23" s="37" t="s">
        <v>70</v>
      </c>
      <c r="C23" s="31"/>
      <c r="D23" s="31"/>
      <c r="E23" s="23"/>
    </row>
    <row r="24" ht="15.75" customHeight="1"/>
    <row r="25" ht="15.75" customHeight="1"/>
    <row r="26" ht="25.5" customHeight="1">
      <c r="A26" s="38" t="s">
        <v>71</v>
      </c>
      <c r="B26" s="31"/>
      <c r="C26" s="31"/>
      <c r="D26" s="31"/>
      <c r="E26" s="23"/>
    </row>
    <row r="27" ht="33.75" customHeight="1">
      <c r="A27" s="39" t="s">
        <v>72</v>
      </c>
      <c r="B27" s="40" t="s">
        <v>73</v>
      </c>
      <c r="C27" s="37" t="s">
        <v>74</v>
      </c>
      <c r="D27" s="31"/>
      <c r="E27" s="23"/>
    </row>
    <row r="28" ht="33.75" customHeight="1">
      <c r="A28" s="41" t="s">
        <v>75</v>
      </c>
      <c r="B28" s="42" t="s">
        <v>76</v>
      </c>
      <c r="C28" s="35" t="s">
        <v>77</v>
      </c>
      <c r="D28" s="31"/>
      <c r="E28" s="23"/>
    </row>
    <row r="29" ht="33.75" customHeight="1">
      <c r="A29" s="43" t="s">
        <v>78</v>
      </c>
      <c r="B29" s="44" t="s">
        <v>79</v>
      </c>
      <c r="C29" s="33" t="s">
        <v>80</v>
      </c>
      <c r="D29" s="31"/>
      <c r="E29" s="23"/>
    </row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2">
    <mergeCell ref="A1:E1"/>
    <mergeCell ref="A2:E2"/>
    <mergeCell ref="A5:E5"/>
    <mergeCell ref="B6:E6"/>
    <mergeCell ref="B7:E7"/>
    <mergeCell ref="B8:E8"/>
    <mergeCell ref="A10:E10"/>
    <mergeCell ref="A20:E20"/>
    <mergeCell ref="B21:E21"/>
    <mergeCell ref="B22:E22"/>
    <mergeCell ref="B23:E23"/>
    <mergeCell ref="A26:E26"/>
    <mergeCell ref="C27:E27"/>
    <mergeCell ref="C28:E28"/>
    <mergeCell ref="C29:E29"/>
    <mergeCell ref="B11:E11"/>
    <mergeCell ref="B12:E12"/>
    <mergeCell ref="B13:E13"/>
    <mergeCell ref="A15:E15"/>
    <mergeCell ref="B16:E16"/>
    <mergeCell ref="B17:E17"/>
    <mergeCell ref="B18:E18"/>
  </mergeCells>
  <printOptions/>
  <pageMargins bottom="1.0" footer="0.0" header="0.0" left="0.75" right="0.75" top="1.0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E24B4A"/>
    <pageSetUpPr/>
  </sheetPr>
  <sheetViews>
    <sheetView showGridLines="0" workbookViewId="0"/>
  </sheetViews>
  <sheetFormatPr customHeight="1" defaultColWidth="14.43" defaultRowHeight="15.0"/>
  <cols>
    <col customWidth="1" min="1" max="1" width="26.0"/>
    <col customWidth="1" min="2" max="2" width="10.0"/>
    <col customWidth="1" min="3" max="3" width="52.0"/>
    <col customWidth="1" min="4" max="4" width="12.0"/>
    <col customWidth="1" min="5" max="26" width="8.71"/>
  </cols>
  <sheetData>
    <row r="1" ht="36.0" customHeight="1">
      <c r="A1" s="45" t="s">
        <v>81</v>
      </c>
      <c r="B1" s="2"/>
      <c r="C1" s="2"/>
      <c r="D1" s="3"/>
    </row>
    <row r="2" ht="19.5" customHeight="1">
      <c r="A2" s="46" t="s">
        <v>82</v>
      </c>
      <c r="B2" s="2"/>
      <c r="C2" s="2"/>
      <c r="D2" s="3"/>
    </row>
    <row r="3" ht="9.75" customHeight="1"/>
    <row r="4" ht="24.0" customHeight="1">
      <c r="A4" s="47" t="s">
        <v>83</v>
      </c>
      <c r="B4" s="47" t="s">
        <v>84</v>
      </c>
      <c r="C4" s="47" t="s">
        <v>85</v>
      </c>
      <c r="D4" s="47" t="s">
        <v>86</v>
      </c>
    </row>
    <row r="5" ht="51.75" customHeight="1">
      <c r="A5" s="48" t="s">
        <v>87</v>
      </c>
      <c r="B5" s="49">
        <v>3.0</v>
      </c>
      <c r="C5" s="50" t="s">
        <v>88</v>
      </c>
      <c r="D5" s="39" t="s">
        <v>89</v>
      </c>
    </row>
    <row r="6" ht="51.75" customHeight="1">
      <c r="A6" s="48" t="s">
        <v>90</v>
      </c>
      <c r="B6" s="49">
        <v>3.0</v>
      </c>
      <c r="C6" s="50" t="s">
        <v>91</v>
      </c>
      <c r="D6" s="39" t="s">
        <v>92</v>
      </c>
    </row>
    <row r="7" ht="51.75" customHeight="1">
      <c r="A7" s="48" t="s">
        <v>93</v>
      </c>
      <c r="B7" s="49">
        <v>3.0</v>
      </c>
      <c r="C7" s="50" t="s">
        <v>94</v>
      </c>
      <c r="D7" s="39" t="s">
        <v>95</v>
      </c>
    </row>
    <row r="8" ht="51.75" customHeight="1">
      <c r="A8" s="51" t="s">
        <v>96</v>
      </c>
      <c r="B8" s="52">
        <v>1.0</v>
      </c>
      <c r="C8" s="53" t="s">
        <v>97</v>
      </c>
      <c r="D8" s="43" t="s">
        <v>98</v>
      </c>
    </row>
    <row r="9" ht="9.75" customHeight="1"/>
    <row r="10" ht="30.0" customHeight="1">
      <c r="A10" s="54" t="s">
        <v>99</v>
      </c>
      <c r="B10" s="31"/>
      <c r="C10" s="31"/>
      <c r="D10" s="23"/>
    </row>
    <row r="11" ht="27.75" customHeight="1">
      <c r="A11" s="55" t="s">
        <v>100</v>
      </c>
      <c r="B11" s="56" t="s">
        <v>101</v>
      </c>
      <c r="C11" s="31"/>
      <c r="D11" s="23"/>
    </row>
    <row r="12" ht="27.75" customHeight="1">
      <c r="A12" s="55" t="s">
        <v>102</v>
      </c>
      <c r="B12" s="57" t="s">
        <v>103</v>
      </c>
      <c r="C12" s="31"/>
      <c r="D12" s="23"/>
    </row>
    <row r="13" ht="27.75" customHeight="1">
      <c r="A13" s="55" t="s">
        <v>104</v>
      </c>
      <c r="B13" s="58" t="s">
        <v>105</v>
      </c>
      <c r="C13" s="31"/>
      <c r="D13" s="23"/>
    </row>
    <row r="14" ht="27.75" customHeight="1">
      <c r="A14" s="55" t="s">
        <v>9</v>
      </c>
      <c r="B14" s="59" t="s">
        <v>106</v>
      </c>
      <c r="C14" s="31"/>
      <c r="D14" s="23"/>
    </row>
    <row r="15" ht="27.75" customHeight="1">
      <c r="A15" s="55" t="s">
        <v>107</v>
      </c>
      <c r="B15" s="56" t="s">
        <v>108</v>
      </c>
      <c r="C15" s="31"/>
      <c r="D15" s="23"/>
    </row>
    <row r="16" ht="27.75" customHeight="1">
      <c r="A16" s="55" t="s">
        <v>109</v>
      </c>
      <c r="B16" s="57" t="s">
        <v>110</v>
      </c>
      <c r="C16" s="31"/>
      <c r="D16" s="23"/>
    </row>
    <row r="21" ht="15.75" customHeight="1"/>
    <row r="22" ht="15.75" customHeight="1"/>
    <row r="23" ht="15.75" customHeight="1"/>
    <row r="24" ht="15.75" customHeight="1"/>
    <row r="25" ht="15.75" customHeight="1">
      <c r="A25" s="60" t="s">
        <v>111</v>
      </c>
      <c r="B25" s="60" t="s">
        <v>112</v>
      </c>
      <c r="C25" s="61" t="s">
        <v>86</v>
      </c>
    </row>
    <row r="26" ht="15.75" customHeight="1">
      <c r="A26" s="60" t="s">
        <v>113</v>
      </c>
      <c r="B26" s="60" t="s">
        <v>114</v>
      </c>
      <c r="C26" s="62">
        <v>0.4</v>
      </c>
    </row>
    <row r="27" ht="15.75" customHeight="1">
      <c r="A27" s="60" t="s">
        <v>115</v>
      </c>
      <c r="B27" s="60" t="s">
        <v>116</v>
      </c>
      <c r="C27" s="62">
        <v>0.3</v>
      </c>
    </row>
    <row r="28" ht="15.75" customHeight="1">
      <c r="A28" s="60" t="s">
        <v>117</v>
      </c>
      <c r="B28" s="60" t="s">
        <v>118</v>
      </c>
      <c r="C28" s="62">
        <v>0.2</v>
      </c>
    </row>
    <row r="29" ht="15.75" customHeight="1">
      <c r="A29" s="60" t="s">
        <v>119</v>
      </c>
      <c r="B29" s="60" t="s">
        <v>120</v>
      </c>
      <c r="C29" s="62">
        <v>0.1</v>
      </c>
    </row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9">
    <mergeCell ref="B15:D15"/>
    <mergeCell ref="B16:D16"/>
    <mergeCell ref="A1:D1"/>
    <mergeCell ref="A2:D2"/>
    <mergeCell ref="A10:D10"/>
    <mergeCell ref="B11:D11"/>
    <mergeCell ref="B12:D12"/>
    <mergeCell ref="B13:D13"/>
    <mergeCell ref="B14:D14"/>
  </mergeCells>
  <printOptions/>
  <pageMargins bottom="1.0" footer="0.0" header="0.0" left="0.75" right="0.75" top="1.0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3B6D11"/>
    <pageSetUpPr/>
  </sheetPr>
  <sheetViews>
    <sheetView showGridLines="0" workbookViewId="0">
      <pane ySplit="5.0" topLeftCell="A6" activePane="bottomLeft" state="frozen"/>
      <selection activeCell="B7" sqref="B7" pane="bottomLeft"/>
    </sheetView>
  </sheetViews>
  <sheetFormatPr customHeight="1" defaultColWidth="14.43" defaultRowHeight="15.0"/>
  <cols>
    <col customWidth="1" min="1" max="1" width="26.0"/>
    <col customWidth="1" min="2" max="2" width="14.0"/>
    <col customWidth="1" min="3" max="3" width="13.0"/>
    <col customWidth="1" min="4" max="5" width="14.0"/>
    <col customWidth="1" min="6" max="8" width="13.0"/>
    <col customWidth="1" min="9" max="9" width="16.0"/>
    <col customWidth="1" min="10" max="26" width="8.71"/>
  </cols>
  <sheetData>
    <row r="1" ht="36.0" customHeight="1">
      <c r="A1" s="28" t="s">
        <v>121</v>
      </c>
      <c r="B1" s="2"/>
      <c r="C1" s="2"/>
      <c r="D1" s="2"/>
      <c r="E1" s="2"/>
      <c r="F1" s="2"/>
      <c r="G1" s="2"/>
      <c r="H1" s="2"/>
      <c r="I1" s="3"/>
    </row>
    <row r="2" ht="19.5" customHeight="1">
      <c r="A2" s="29" t="s">
        <v>122</v>
      </c>
      <c r="B2" s="2"/>
      <c r="C2" s="2"/>
      <c r="D2" s="2"/>
      <c r="E2" s="2"/>
      <c r="F2" s="2"/>
      <c r="G2" s="2"/>
      <c r="H2" s="2"/>
      <c r="I2" s="3"/>
    </row>
    <row r="3" ht="6.0" customHeight="1"/>
    <row r="4" ht="42.0" customHeight="1">
      <c r="A4" s="63" t="s">
        <v>2</v>
      </c>
      <c r="B4" s="63" t="s">
        <v>3</v>
      </c>
      <c r="C4" s="63" t="s">
        <v>4</v>
      </c>
      <c r="D4" s="63" t="s">
        <v>5</v>
      </c>
      <c r="E4" s="63" t="s">
        <v>6</v>
      </c>
      <c r="F4" s="63" t="s">
        <v>7</v>
      </c>
      <c r="G4" s="63" t="s">
        <v>8</v>
      </c>
      <c r="H4" s="63" t="s">
        <v>9</v>
      </c>
      <c r="I4" s="63" t="s">
        <v>10</v>
      </c>
    </row>
    <row r="5" ht="18.0" customHeight="1">
      <c r="A5" s="64"/>
      <c r="B5" s="64"/>
      <c r="C5" s="64" t="s">
        <v>11</v>
      </c>
      <c r="D5" s="64" t="s">
        <v>12</v>
      </c>
      <c r="E5" s="64" t="s">
        <v>13</v>
      </c>
      <c r="F5" s="64" t="s">
        <v>14</v>
      </c>
      <c r="G5" s="64" t="s">
        <v>15</v>
      </c>
      <c r="H5" s="64" t="s">
        <v>16</v>
      </c>
      <c r="I5" s="64"/>
    </row>
    <row r="6" ht="21.75" customHeight="1">
      <c r="A6" s="65"/>
      <c r="B6" s="66"/>
      <c r="C6" s="66"/>
      <c r="D6" s="66"/>
      <c r="E6" s="66"/>
      <c r="F6" s="66"/>
      <c r="G6" s="10" t="str">
        <f t="shared" ref="G6:G35" si="1">IF(AND(ISNUMBER(C6),ISNUMBER(D6),ISNUMBER(E6),ISNUMBER(F6)),(C6*0.4)+(D6*0.3)+(E6*0.2)+(F6*0.1),"")</f>
        <v/>
      </c>
      <c r="H6" s="11" t="str">
        <f t="shared" ref="H6:H35" si="2">IF(G6="","",IF(G6&gt;=2.5,"HIGH",IF(G6&gt;=1.5,"MEDIUM","LOW")))</f>
        <v/>
      </c>
      <c r="I6" s="66"/>
    </row>
    <row r="7" ht="21.75" customHeight="1">
      <c r="A7" s="67"/>
      <c r="B7" s="68"/>
      <c r="C7" s="68"/>
      <c r="D7" s="68"/>
      <c r="E7" s="68"/>
      <c r="F7" s="68"/>
      <c r="G7" s="16" t="str">
        <f t="shared" si="1"/>
        <v/>
      </c>
      <c r="H7" s="17" t="str">
        <f t="shared" si="2"/>
        <v/>
      </c>
      <c r="I7" s="68"/>
    </row>
    <row r="8" ht="21.75" customHeight="1">
      <c r="A8" s="65"/>
      <c r="B8" s="66"/>
      <c r="C8" s="66"/>
      <c r="D8" s="66"/>
      <c r="E8" s="66"/>
      <c r="F8" s="66"/>
      <c r="G8" s="10" t="str">
        <f t="shared" si="1"/>
        <v/>
      </c>
      <c r="H8" s="11" t="str">
        <f t="shared" si="2"/>
        <v/>
      </c>
      <c r="I8" s="66"/>
    </row>
    <row r="9" ht="21.75" customHeight="1">
      <c r="A9" s="67"/>
      <c r="B9" s="68"/>
      <c r="C9" s="68"/>
      <c r="D9" s="68"/>
      <c r="E9" s="68"/>
      <c r="F9" s="68"/>
      <c r="G9" s="16" t="str">
        <f t="shared" si="1"/>
        <v/>
      </c>
      <c r="H9" s="17" t="str">
        <f t="shared" si="2"/>
        <v/>
      </c>
      <c r="I9" s="68"/>
    </row>
    <row r="10" ht="21.75" customHeight="1">
      <c r="A10" s="65"/>
      <c r="B10" s="66"/>
      <c r="C10" s="66"/>
      <c r="D10" s="66"/>
      <c r="E10" s="66"/>
      <c r="F10" s="66"/>
      <c r="G10" s="10" t="str">
        <f t="shared" si="1"/>
        <v/>
      </c>
      <c r="H10" s="11" t="str">
        <f t="shared" si="2"/>
        <v/>
      </c>
      <c r="I10" s="66"/>
    </row>
    <row r="11" ht="21.75" customHeight="1">
      <c r="A11" s="67"/>
      <c r="B11" s="68"/>
      <c r="C11" s="68"/>
      <c r="D11" s="68"/>
      <c r="E11" s="68"/>
      <c r="F11" s="68"/>
      <c r="G11" s="16" t="str">
        <f t="shared" si="1"/>
        <v/>
      </c>
      <c r="H11" s="17" t="str">
        <f t="shared" si="2"/>
        <v/>
      </c>
      <c r="I11" s="68"/>
    </row>
    <row r="12" ht="21.75" customHeight="1">
      <c r="A12" s="65"/>
      <c r="B12" s="66"/>
      <c r="C12" s="66"/>
      <c r="D12" s="66"/>
      <c r="E12" s="66"/>
      <c r="F12" s="66"/>
      <c r="G12" s="10" t="str">
        <f t="shared" si="1"/>
        <v/>
      </c>
      <c r="H12" s="11" t="str">
        <f t="shared" si="2"/>
        <v/>
      </c>
      <c r="I12" s="66"/>
    </row>
    <row r="13" ht="21.75" customHeight="1">
      <c r="A13" s="67"/>
      <c r="B13" s="68"/>
      <c r="C13" s="68"/>
      <c r="D13" s="68"/>
      <c r="E13" s="68"/>
      <c r="F13" s="68"/>
      <c r="G13" s="16" t="str">
        <f t="shared" si="1"/>
        <v/>
      </c>
      <c r="H13" s="17" t="str">
        <f t="shared" si="2"/>
        <v/>
      </c>
      <c r="I13" s="68"/>
    </row>
    <row r="14" ht="21.75" customHeight="1">
      <c r="A14" s="65"/>
      <c r="B14" s="66"/>
      <c r="C14" s="66"/>
      <c r="D14" s="66"/>
      <c r="E14" s="66"/>
      <c r="F14" s="66"/>
      <c r="G14" s="10" t="str">
        <f t="shared" si="1"/>
        <v/>
      </c>
      <c r="H14" s="11" t="str">
        <f t="shared" si="2"/>
        <v/>
      </c>
      <c r="I14" s="66"/>
    </row>
    <row r="15" ht="21.75" customHeight="1">
      <c r="A15" s="67"/>
      <c r="B15" s="68"/>
      <c r="C15" s="68"/>
      <c r="D15" s="68"/>
      <c r="E15" s="68"/>
      <c r="F15" s="68"/>
      <c r="G15" s="16" t="str">
        <f t="shared" si="1"/>
        <v/>
      </c>
      <c r="H15" s="17" t="str">
        <f t="shared" si="2"/>
        <v/>
      </c>
      <c r="I15" s="68"/>
    </row>
    <row r="16" ht="21.75" customHeight="1">
      <c r="A16" s="65"/>
      <c r="B16" s="66"/>
      <c r="C16" s="66"/>
      <c r="D16" s="66"/>
      <c r="E16" s="66"/>
      <c r="F16" s="66"/>
      <c r="G16" s="10" t="str">
        <f t="shared" si="1"/>
        <v/>
      </c>
      <c r="H16" s="11" t="str">
        <f t="shared" si="2"/>
        <v/>
      </c>
      <c r="I16" s="66"/>
    </row>
    <row r="17" ht="21.75" customHeight="1">
      <c r="A17" s="67"/>
      <c r="B17" s="68"/>
      <c r="C17" s="68"/>
      <c r="D17" s="68"/>
      <c r="E17" s="68"/>
      <c r="F17" s="68"/>
      <c r="G17" s="16" t="str">
        <f t="shared" si="1"/>
        <v/>
      </c>
      <c r="H17" s="17" t="str">
        <f t="shared" si="2"/>
        <v/>
      </c>
      <c r="I17" s="68"/>
    </row>
    <row r="18" ht="21.75" customHeight="1">
      <c r="A18" s="65"/>
      <c r="B18" s="66"/>
      <c r="C18" s="66"/>
      <c r="D18" s="66"/>
      <c r="E18" s="66"/>
      <c r="F18" s="66"/>
      <c r="G18" s="10" t="str">
        <f t="shared" si="1"/>
        <v/>
      </c>
      <c r="H18" s="11" t="str">
        <f t="shared" si="2"/>
        <v/>
      </c>
      <c r="I18" s="66"/>
    </row>
    <row r="19" ht="21.75" customHeight="1">
      <c r="A19" s="67"/>
      <c r="B19" s="68"/>
      <c r="C19" s="68"/>
      <c r="D19" s="68"/>
      <c r="E19" s="68"/>
      <c r="F19" s="68"/>
      <c r="G19" s="16" t="str">
        <f t="shared" si="1"/>
        <v/>
      </c>
      <c r="H19" s="17" t="str">
        <f t="shared" si="2"/>
        <v/>
      </c>
      <c r="I19" s="68"/>
    </row>
    <row r="20" ht="21.75" customHeight="1">
      <c r="A20" s="65"/>
      <c r="B20" s="66"/>
      <c r="C20" s="66"/>
      <c r="D20" s="66"/>
      <c r="E20" s="66"/>
      <c r="F20" s="66"/>
      <c r="G20" s="10" t="str">
        <f t="shared" si="1"/>
        <v/>
      </c>
      <c r="H20" s="11" t="str">
        <f t="shared" si="2"/>
        <v/>
      </c>
      <c r="I20" s="66"/>
    </row>
    <row r="21" ht="21.75" customHeight="1">
      <c r="A21" s="67"/>
      <c r="B21" s="68"/>
      <c r="C21" s="68"/>
      <c r="D21" s="68"/>
      <c r="E21" s="68"/>
      <c r="F21" s="68"/>
      <c r="G21" s="16" t="str">
        <f t="shared" si="1"/>
        <v/>
      </c>
      <c r="H21" s="17" t="str">
        <f t="shared" si="2"/>
        <v/>
      </c>
      <c r="I21" s="68"/>
    </row>
    <row r="22" ht="21.75" customHeight="1">
      <c r="A22" s="65"/>
      <c r="B22" s="66"/>
      <c r="C22" s="66"/>
      <c r="D22" s="66"/>
      <c r="E22" s="66"/>
      <c r="F22" s="66"/>
      <c r="G22" s="10" t="str">
        <f t="shared" si="1"/>
        <v/>
      </c>
      <c r="H22" s="11" t="str">
        <f t="shared" si="2"/>
        <v/>
      </c>
      <c r="I22" s="66"/>
    </row>
    <row r="23" ht="21.75" customHeight="1">
      <c r="A23" s="67"/>
      <c r="B23" s="68"/>
      <c r="C23" s="68"/>
      <c r="D23" s="68"/>
      <c r="E23" s="68"/>
      <c r="F23" s="68"/>
      <c r="G23" s="16" t="str">
        <f t="shared" si="1"/>
        <v/>
      </c>
      <c r="H23" s="17" t="str">
        <f t="shared" si="2"/>
        <v/>
      </c>
      <c r="I23" s="68"/>
    </row>
    <row r="24" ht="21.75" customHeight="1">
      <c r="A24" s="65"/>
      <c r="B24" s="66"/>
      <c r="C24" s="66"/>
      <c r="D24" s="66"/>
      <c r="E24" s="66"/>
      <c r="F24" s="66"/>
      <c r="G24" s="10" t="str">
        <f t="shared" si="1"/>
        <v/>
      </c>
      <c r="H24" s="11" t="str">
        <f t="shared" si="2"/>
        <v/>
      </c>
      <c r="I24" s="66"/>
    </row>
    <row r="25" ht="21.75" customHeight="1">
      <c r="A25" s="67"/>
      <c r="B25" s="68"/>
      <c r="C25" s="68"/>
      <c r="D25" s="68"/>
      <c r="E25" s="68"/>
      <c r="F25" s="68"/>
      <c r="G25" s="16" t="str">
        <f t="shared" si="1"/>
        <v/>
      </c>
      <c r="H25" s="17" t="str">
        <f t="shared" si="2"/>
        <v/>
      </c>
      <c r="I25" s="68"/>
    </row>
    <row r="26" ht="21.75" customHeight="1">
      <c r="A26" s="65"/>
      <c r="B26" s="66"/>
      <c r="C26" s="66"/>
      <c r="D26" s="66"/>
      <c r="E26" s="66"/>
      <c r="F26" s="66"/>
      <c r="G26" s="10" t="str">
        <f t="shared" si="1"/>
        <v/>
      </c>
      <c r="H26" s="11" t="str">
        <f t="shared" si="2"/>
        <v/>
      </c>
      <c r="I26" s="66"/>
    </row>
    <row r="27" ht="21.75" customHeight="1">
      <c r="A27" s="67"/>
      <c r="B27" s="68"/>
      <c r="C27" s="68"/>
      <c r="D27" s="68"/>
      <c r="E27" s="68"/>
      <c r="F27" s="68"/>
      <c r="G27" s="16" t="str">
        <f t="shared" si="1"/>
        <v/>
      </c>
      <c r="H27" s="17" t="str">
        <f t="shared" si="2"/>
        <v/>
      </c>
      <c r="I27" s="68"/>
    </row>
    <row r="28" ht="21.75" customHeight="1">
      <c r="A28" s="65"/>
      <c r="B28" s="66"/>
      <c r="C28" s="66"/>
      <c r="D28" s="66"/>
      <c r="E28" s="66"/>
      <c r="F28" s="66"/>
      <c r="G28" s="10" t="str">
        <f t="shared" si="1"/>
        <v/>
      </c>
      <c r="H28" s="11" t="str">
        <f t="shared" si="2"/>
        <v/>
      </c>
      <c r="I28" s="66"/>
    </row>
    <row r="29" ht="21.75" customHeight="1">
      <c r="A29" s="67"/>
      <c r="B29" s="68"/>
      <c r="C29" s="68"/>
      <c r="D29" s="68"/>
      <c r="E29" s="68"/>
      <c r="F29" s="68"/>
      <c r="G29" s="16" t="str">
        <f t="shared" si="1"/>
        <v/>
      </c>
      <c r="H29" s="17" t="str">
        <f t="shared" si="2"/>
        <v/>
      </c>
      <c r="I29" s="68"/>
    </row>
    <row r="30" ht="21.75" customHeight="1">
      <c r="A30" s="65"/>
      <c r="B30" s="66"/>
      <c r="C30" s="66"/>
      <c r="D30" s="66"/>
      <c r="E30" s="66"/>
      <c r="F30" s="66"/>
      <c r="G30" s="10" t="str">
        <f t="shared" si="1"/>
        <v/>
      </c>
      <c r="H30" s="11" t="str">
        <f t="shared" si="2"/>
        <v/>
      </c>
      <c r="I30" s="66"/>
    </row>
    <row r="31" ht="21.75" customHeight="1">
      <c r="A31" s="67"/>
      <c r="B31" s="68"/>
      <c r="C31" s="68"/>
      <c r="D31" s="68"/>
      <c r="E31" s="68"/>
      <c r="F31" s="68"/>
      <c r="G31" s="16" t="str">
        <f t="shared" si="1"/>
        <v/>
      </c>
      <c r="H31" s="17" t="str">
        <f t="shared" si="2"/>
        <v/>
      </c>
      <c r="I31" s="68"/>
    </row>
    <row r="32" ht="21.75" customHeight="1">
      <c r="A32" s="65"/>
      <c r="B32" s="66"/>
      <c r="C32" s="66"/>
      <c r="D32" s="66"/>
      <c r="E32" s="66"/>
      <c r="F32" s="66"/>
      <c r="G32" s="10" t="str">
        <f t="shared" si="1"/>
        <v/>
      </c>
      <c r="H32" s="11" t="str">
        <f t="shared" si="2"/>
        <v/>
      </c>
      <c r="I32" s="66"/>
    </row>
    <row r="33" ht="21.75" customHeight="1">
      <c r="A33" s="67"/>
      <c r="B33" s="68"/>
      <c r="C33" s="68"/>
      <c r="D33" s="68"/>
      <c r="E33" s="68"/>
      <c r="F33" s="68"/>
      <c r="G33" s="16" t="str">
        <f t="shared" si="1"/>
        <v/>
      </c>
      <c r="H33" s="17" t="str">
        <f t="shared" si="2"/>
        <v/>
      </c>
      <c r="I33" s="68"/>
    </row>
    <row r="34" ht="21.75" customHeight="1">
      <c r="A34" s="65"/>
      <c r="B34" s="66"/>
      <c r="C34" s="66"/>
      <c r="D34" s="66"/>
      <c r="E34" s="66"/>
      <c r="F34" s="66"/>
      <c r="G34" s="10" t="str">
        <f t="shared" si="1"/>
        <v/>
      </c>
      <c r="H34" s="11" t="str">
        <f t="shared" si="2"/>
        <v/>
      </c>
      <c r="I34" s="66"/>
    </row>
    <row r="35" ht="21.75" customHeight="1">
      <c r="A35" s="67"/>
      <c r="B35" s="68"/>
      <c r="C35" s="68"/>
      <c r="D35" s="68"/>
      <c r="E35" s="68"/>
      <c r="F35" s="68"/>
      <c r="G35" s="16" t="str">
        <f t="shared" si="1"/>
        <v/>
      </c>
      <c r="H35" s="17" t="str">
        <f t="shared" si="2"/>
        <v/>
      </c>
      <c r="I35" s="68"/>
    </row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I1"/>
    <mergeCell ref="A2:I2"/>
  </mergeCells>
  <conditionalFormatting sqref="H6:H35">
    <cfRule type="cellIs" dxfId="0" priority="1" operator="equal">
      <formula>"HIGH"</formula>
    </cfRule>
  </conditionalFormatting>
  <conditionalFormatting sqref="H6:H35">
    <cfRule type="cellIs" dxfId="1" priority="2" operator="equal">
      <formula>"MEDIUM"</formula>
    </cfRule>
  </conditionalFormatting>
  <conditionalFormatting sqref="H6:H35">
    <cfRule type="cellIs" dxfId="2" priority="3" operator="equal">
      <formula>"LOW"</formula>
    </cfRule>
  </conditionalFormatting>
  <conditionalFormatting sqref="G6:G35">
    <cfRule type="cellIs" dxfId="0" priority="4" operator="greaterThanOrEqual">
      <formula>2.5</formula>
    </cfRule>
  </conditionalFormatting>
  <dataValidations>
    <dataValidation type="decimal" allowBlank="1" showInputMessage="1" showErrorMessage="1" prompt="Invalid score - Enter 1, 2, or 3 only" sqref="C6:F35">
      <formula1>1.0</formula1>
      <formula2>3.0</formula2>
    </dataValidation>
  </dataValidations>
  <printOptions/>
  <pageMargins bottom="1.0" footer="0.0" header="0.0" left="0.75" right="0.75" top="1.0"/>
  <pageSetup paperSize="9" orientation="portrait"/>
  <drawing r:id="rId1"/>
  <tableParts count="1">
    <tablePart r:id="rId3"/>
  </tableParts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2026-04-03T09:16:08Z</dcterms:created>
  <dc:creator>openpyxl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