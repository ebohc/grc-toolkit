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iness Dashboard" sheetId="1" r:id="rId4"/>
    <sheet state="visible" name="Evidence Tracker" sheetId="2" r:id="rId5"/>
    <sheet state="visible" name="Control Testing Log" sheetId="3" r:id="rId6"/>
    <sheet state="visible" name="Gap Assessment" sheetId="4" r:id="rId7"/>
    <sheet state="visible" name="Audit Prep Checklist" sheetId="5" r:id="rId8"/>
    <sheet state="visible" name="PBC Request Tracker" sheetId="6" r:id="rId9"/>
  </sheets>
  <definedNames/>
  <calcPr/>
  <extLst>
    <ext uri="GoogleSheetsCustomDataVersion2">
      <go:sheetsCustomData xmlns:go="http://customooxmlschemas.google.com/" r:id="rId10" roundtripDataChecksum="TMXbOMK+MpPpY7ZzE5sKW7Oa8qJvp2lM1f6GSGJUB1k="/>
    </ext>
  </extLst>
</workbook>
</file>

<file path=xl/sharedStrings.xml><?xml version="1.0" encoding="utf-8"?>
<sst xmlns="http://schemas.openxmlformats.org/spreadsheetml/2006/main" count="585" uniqueCount="394">
  <si>
    <t>SOC 2 TYPE II — AUDIT READINESS DASHBOARD</t>
  </si>
  <si>
    <t>Track your overall readiness across all five Trust Service Criteria</t>
  </si>
  <si>
    <t>Trust Service Criteria</t>
  </si>
  <si>
    <t>Total Controls</t>
  </si>
  <si>
    <t>Complete</t>
  </si>
  <si>
    <t>In Progress</t>
  </si>
  <si>
    <t>Not Started</t>
  </si>
  <si>
    <t>% Ready</t>
  </si>
  <si>
    <t>Status</t>
  </si>
  <si>
    <t>CC — Common Criteria (Security)</t>
  </si>
  <si>
    <t>A — Availability</t>
  </si>
  <si>
    <t>C — Confidentiality</t>
  </si>
  <si>
    <t>PI — Processing Integrity</t>
  </si>
  <si>
    <t>P — Privacy</t>
  </si>
  <si>
    <t>OVERALL READINESS</t>
  </si>
  <si>
    <t>AUDIT TIMELINE</t>
  </si>
  <si>
    <t>Audit period start date</t>
  </si>
  <si>
    <t>Auditor firm</t>
  </si>
  <si>
    <t>Audit period end date</t>
  </si>
  <si>
    <t>Lead auditor contact</t>
  </si>
  <si>
    <t>Fieldwork start date</t>
  </si>
  <si>
    <t>Internal audit owner</t>
  </si>
  <si>
    <t>Report delivery date</t>
  </si>
  <si>
    <t>Executive sponsor</t>
  </si>
  <si>
    <t>SOC 2 EVIDENCE TRACKER</t>
  </si>
  <si>
    <t>Track every piece of evidence required for your SOC 2 audit. One row per control.</t>
  </si>
  <si>
    <t>Control ID</t>
  </si>
  <si>
    <t>TSC</t>
  </si>
  <si>
    <t>Control Description</t>
  </si>
  <si>
    <t>Evidence Required</t>
  </si>
  <si>
    <t>Evidence Owner</t>
  </si>
  <si>
    <t>Collection Method</t>
  </si>
  <si>
    <t>Due Date</t>
  </si>
  <si>
    <t>Evidence Location</t>
  </si>
  <si>
    <t>Auditor Notes</t>
  </si>
  <si>
    <t>CC1.1</t>
  </si>
  <si>
    <t>CC</t>
  </si>
  <si>
    <t>Board oversight of security program</t>
  </si>
  <si>
    <t>Board meeting minutes referencing security, security charter or policy approved by board</t>
  </si>
  <si>
    <t>GRC / Legal</t>
  </si>
  <si>
    <t>Annual review</t>
  </si>
  <si>
    <t>CC2.1</t>
  </si>
  <si>
    <t>Communication of security commitments</t>
  </si>
  <si>
    <t>Security policy published to all staff, employee acknowledgement records</t>
  </si>
  <si>
    <t>GRC / HR</t>
  </si>
  <si>
    <t>Policy portal export</t>
  </si>
  <si>
    <t>CC3.1</t>
  </si>
  <si>
    <t>Risk assessment process</t>
  </si>
  <si>
    <t>Annual risk assessment report, risk register with ratings and treatment plans</t>
  </si>
  <si>
    <t>GRC Team</t>
  </si>
  <si>
    <t>Risk register export</t>
  </si>
  <si>
    <t>CC4.1</t>
  </si>
  <si>
    <t>Monitoring of controls</t>
  </si>
  <si>
    <t>Evidence of control testing, internal audit results, exception reports</t>
  </si>
  <si>
    <t>GRC / Internal Audit</t>
  </si>
  <si>
    <t>Quarterly reports</t>
  </si>
  <si>
    <t>CC5.1</t>
  </si>
  <si>
    <t>Control environment — policies and procedures</t>
  </si>
  <si>
    <t>All security policies with version history, review dates, and approvals</t>
  </si>
  <si>
    <t>Policy management system</t>
  </si>
  <si>
    <t>CC6.1</t>
  </si>
  <si>
    <t>Logical access controls</t>
  </si>
  <si>
    <t>User access list for all critical systems, access provisioning tickets</t>
  </si>
  <si>
    <t>IT / IAM</t>
  </si>
  <si>
    <t>IAM system export</t>
  </si>
  <si>
    <t>CC6.2</t>
  </si>
  <si>
    <t>Authentication controls</t>
  </si>
  <si>
    <t>MFA enforcement evidence, authentication policy, SSO configuration screenshots</t>
  </si>
  <si>
    <t>IT Security</t>
  </si>
  <si>
    <t>System config screenshots</t>
  </si>
  <si>
    <t>CC6.3</t>
  </si>
  <si>
    <t>Access removal — terminations</t>
  </si>
  <si>
    <t>Offboarding checklist with access revocation confirmation, IAM deprovisioning logs</t>
  </si>
  <si>
    <t>IT / HR</t>
  </si>
  <si>
    <t>HRIS + IAM export</t>
  </si>
  <si>
    <t>CC6.6</t>
  </si>
  <si>
    <t>Encryption in transit and at rest</t>
  </si>
  <si>
    <t>TLS certificate inventory, encryption configuration evidence, key management policy</t>
  </si>
  <si>
    <t>IT / Cloud</t>
  </si>
  <si>
    <t>Config export, certs</t>
  </si>
  <si>
    <t>CC6.7</t>
  </si>
  <si>
    <t>Vulnerability management</t>
  </si>
  <si>
    <t>Vulnerability scan results (last 12 months), remediation tracking, patch SLA evidence</t>
  </si>
  <si>
    <t>Security Ops</t>
  </si>
  <si>
    <t>Tenable/Nessus export</t>
  </si>
  <si>
    <t>CC6.8</t>
  </si>
  <si>
    <t>Malware prevention</t>
  </si>
  <si>
    <t>EDR deployment evidence, coverage report showing % of endpoints protected</t>
  </si>
  <si>
    <t>EDR console export</t>
  </si>
  <si>
    <t>CC7.1</t>
  </si>
  <si>
    <t>System monitoring and logging</t>
  </si>
  <si>
    <t>SIEM configuration, log retention policy, sample alert evidence</t>
  </si>
  <si>
    <t>SIEM screenshots</t>
  </si>
  <si>
    <t>CC7.2</t>
  </si>
  <si>
    <t>Incident response</t>
  </si>
  <si>
    <t>IR policy, incident log for audit period, post-mortem reports for major incidents</t>
  </si>
  <si>
    <t>GRC / Security</t>
  </si>
  <si>
    <t>IR log export</t>
  </si>
  <si>
    <t>CC7.3</t>
  </si>
  <si>
    <t>Incident communication</t>
  </si>
  <si>
    <t>Evidence of stakeholder notification for incidents, breach notification records if applicable</t>
  </si>
  <si>
    <t>IR communication records</t>
  </si>
  <si>
    <t>CC8.1</t>
  </si>
  <si>
    <t>Change management</t>
  </si>
  <si>
    <t>Change request log, change approval records, deployment tickets for audit period</t>
  </si>
  <si>
    <t>IT / DevOps</t>
  </si>
  <si>
    <t>JIRA/ServiceNow export</t>
  </si>
  <si>
    <t>CC9.1</t>
  </si>
  <si>
    <t>Vendor risk management</t>
  </si>
  <si>
    <t>Vendor risk register, vendor assessments for critical vendors, vendor contracts</t>
  </si>
  <si>
    <t>GRC / Procurement</t>
  </si>
  <si>
    <t>Vendor risk register</t>
  </si>
  <si>
    <t>CC9.2</t>
  </si>
  <si>
    <t>Business continuity</t>
  </si>
  <si>
    <t>BCP/DRP documentation, BCP test results, backup verification evidence</t>
  </si>
  <si>
    <t>GRC / IT</t>
  </si>
  <si>
    <t>Test reports</t>
  </si>
  <si>
    <t>A1.1</t>
  </si>
  <si>
    <t>A</t>
  </si>
  <si>
    <t>Availability commitments</t>
  </si>
  <si>
    <t>Uptime SLA commitments, system availability policy</t>
  </si>
  <si>
    <t>Product / Legal</t>
  </si>
  <si>
    <t>SLA documentation</t>
  </si>
  <si>
    <t>A1.2</t>
  </si>
  <si>
    <t>Availability monitoring</t>
  </si>
  <si>
    <t>Uptime monitoring evidence (last 12 months), incident log for availability events</t>
  </si>
  <si>
    <t>Monitoring dashboard export</t>
  </si>
  <si>
    <t>A1.3</t>
  </si>
  <si>
    <t>Backup and recovery</t>
  </si>
  <si>
    <t>Backup schedule, backup test results, RTO/RPO documentation</t>
  </si>
  <si>
    <t>IT Operations</t>
  </si>
  <si>
    <t>Backup system export</t>
  </si>
  <si>
    <t>A1.4</t>
  </si>
  <si>
    <t>Disaster recovery testing</t>
  </si>
  <si>
    <t>DR test plan, DR test results, lessons learned documentation</t>
  </si>
  <si>
    <t>DR test report</t>
  </si>
  <si>
    <t>C1.1</t>
  </si>
  <si>
    <t>C</t>
  </si>
  <si>
    <t>Information classification</t>
  </si>
  <si>
    <t>Data classification policy, classification labels applied to key data stores</t>
  </si>
  <si>
    <t>Policy + data inventory</t>
  </si>
  <si>
    <t>C1.2</t>
  </si>
  <si>
    <t>Confidentiality agreements</t>
  </si>
  <si>
    <t>NDA/confidentiality agreements for employees and contractors</t>
  </si>
  <si>
    <t>Legal / HR</t>
  </si>
  <si>
    <t>Contract repository</t>
  </si>
  <si>
    <t>C1.3</t>
  </si>
  <si>
    <t>Confidential data disposal</t>
  </si>
  <si>
    <t>Data disposal policy, certificates of destruction or deletion logs</t>
  </si>
  <si>
    <t>IT / GRC</t>
  </si>
  <si>
    <t>Disposal records</t>
  </si>
  <si>
    <t>PI1.1</t>
  </si>
  <si>
    <t>PI</t>
  </si>
  <si>
    <t>Complete and accurate processing</t>
  </si>
  <si>
    <t>System input/output validation evidence, error handling logs</t>
  </si>
  <si>
    <t>Engineering</t>
  </si>
  <si>
    <t>System logs</t>
  </si>
  <si>
    <t>PI1.2</t>
  </si>
  <si>
    <t>Processing monitoring</t>
  </si>
  <si>
    <t>Transaction monitoring evidence, reconciliation reports</t>
  </si>
  <si>
    <t>Engineering / Ops</t>
  </si>
  <si>
    <t>Monitoring reports</t>
  </si>
  <si>
    <t>PI1.3</t>
  </si>
  <si>
    <t>Output validation</t>
  </si>
  <si>
    <t>QA process documentation, output reconciliation evidence</t>
  </si>
  <si>
    <t>QA records</t>
  </si>
  <si>
    <t>PI1.4</t>
  </si>
  <si>
    <t>Error handling</t>
  </si>
  <si>
    <t>Error handling policy, sample error logs and resolution evidence</t>
  </si>
  <si>
    <t>Error logs</t>
  </si>
  <si>
    <t>P1.1</t>
  </si>
  <si>
    <t>P</t>
  </si>
  <si>
    <t>Privacy notice</t>
  </si>
  <si>
    <t>Published privacy policy, evidence of user notification</t>
  </si>
  <si>
    <t>Legal / Privacy</t>
  </si>
  <si>
    <t>Privacy policy URL</t>
  </si>
  <si>
    <t>P2.1</t>
  </si>
  <si>
    <t>Consent management</t>
  </si>
  <si>
    <t>Consent records, consent management platform evidence</t>
  </si>
  <si>
    <t>Legal / Product</t>
  </si>
  <si>
    <t>CMP export</t>
  </si>
  <si>
    <t>P3.1</t>
  </si>
  <si>
    <t>Personal information collection</t>
  </si>
  <si>
    <t>Data inventory showing PI collected, purpose limitation documentation</t>
  </si>
  <si>
    <t>Privacy / GRC</t>
  </si>
  <si>
    <t>Data inventory</t>
  </si>
  <si>
    <t>P4.1</t>
  </si>
  <si>
    <t>PI use and retention</t>
  </si>
  <si>
    <t>Retention schedule, evidence of deletion at end of retention period</t>
  </si>
  <si>
    <t>Privacy / IT</t>
  </si>
  <si>
    <t>Retention records</t>
  </si>
  <si>
    <t>P5.1</t>
  </si>
  <si>
    <t>Access to personal information</t>
  </si>
  <si>
    <t>DSR/DSAR process documentation, sample fulfilled requests</t>
  </si>
  <si>
    <t>Privacy / Legal</t>
  </si>
  <si>
    <t>DSAR log</t>
  </si>
  <si>
    <t>P6.1</t>
  </si>
  <si>
    <t>Disclosure of personal information</t>
  </si>
  <si>
    <t>Data sharing agreements, third-party PI disclosure records</t>
  </si>
  <si>
    <t>DPA register</t>
  </si>
  <si>
    <t>P7.1</t>
  </si>
  <si>
    <t>Quality of personal information</t>
  </si>
  <si>
    <t>Data accuracy procedures, user data correction process</t>
  </si>
  <si>
    <t>Privacy / Product</t>
  </si>
  <si>
    <t>Process documentation</t>
  </si>
  <si>
    <t>P8.1</t>
  </si>
  <si>
    <t>Privacy complaints</t>
  </si>
  <si>
    <t>Privacy complaint log, resolution records for audit period</t>
  </si>
  <si>
    <t>Complaint log</t>
  </si>
  <si>
    <t>SOC 2 CONTROL TESTING LOG</t>
  </si>
  <si>
    <t>Document the results of testing each control. Auditors will review this during fieldwork.</t>
  </si>
  <si>
    <t>Test Procedure</t>
  </si>
  <si>
    <t>Sample Size</t>
  </si>
  <si>
    <t>Test Date</t>
  </si>
  <si>
    <t>Tested By</t>
  </si>
  <si>
    <t>Result</t>
  </si>
  <si>
    <t>Exceptions / Notes</t>
  </si>
  <si>
    <t>Select 25 user accounts. Verify each has an approved access request ticket and appropriate role assignment.</t>
  </si>
  <si>
    <t>25</t>
  </si>
  <si>
    <t>MFA enforcement</t>
  </si>
  <si>
    <t>Verify MFA is enforced for all user accounts. Export MFA status report. Check for exceptions.</t>
  </si>
  <si>
    <t>All users</t>
  </si>
  <si>
    <t>Select 10 terminated employees from HR system. Verify all system access was revoked within SLA.</t>
  </si>
  <si>
    <t>10</t>
  </si>
  <si>
    <t>Encryption in transit</t>
  </si>
  <si>
    <t>Verify TLS 1.2+ is enforced on all public endpoints. Review SSL certificate inventory.</t>
  </si>
  <si>
    <t>All endpoints</t>
  </si>
  <si>
    <t>Review last 4 quarterly scan reports. Verify critical vulns remediated within SLA.</t>
  </si>
  <si>
    <t>Last 4 scans</t>
  </si>
  <si>
    <t>Verify EDR is deployed on 100% of endpoints. Review coverage report and any exclusions.</t>
  </si>
  <si>
    <t>SIEM logging</t>
  </si>
  <si>
    <t>Verify logs from all critical systems are ingested into SIEM. Review retention settings.</t>
  </si>
  <si>
    <t>All critical systems</t>
  </si>
  <si>
    <t>Select 5 incidents from log. Verify each followed IR procedure: containment, eradication, closure.</t>
  </si>
  <si>
    <t>5 incidents</t>
  </si>
  <si>
    <t>Select 15 changes. Verify each has approval record, testing evidence, and rollback plan.</t>
  </si>
  <si>
    <t>15 changes</t>
  </si>
  <si>
    <t>Review vendor risk register. Verify all critical vendors have current assessment and SOC 2 report.</t>
  </si>
  <si>
    <t>All critical vendors</t>
  </si>
  <si>
    <t>Risk assessment</t>
  </si>
  <si>
    <t>Review annual risk assessment. Verify risk register is current, rated, and treatment plans documented.</t>
  </si>
  <si>
    <t>Full register</t>
  </si>
  <si>
    <t>Security policies</t>
  </si>
  <si>
    <t>Verify all required policies exist, are approved, dated within last 12 months, and staff-acknowledged.</t>
  </si>
  <si>
    <t>All policies</t>
  </si>
  <si>
    <t>Review uptime reports for audit period. Verify monitoring alerts are configured and responded to.</t>
  </si>
  <si>
    <t>12 months</t>
  </si>
  <si>
    <t>Review backup schedule. Verify at least one successful restore test in the last 12 months.</t>
  </si>
  <si>
    <t>Last restore test</t>
  </si>
  <si>
    <t>Review BCP/DRP. Verify test was conducted in last 12 months with documented results.</t>
  </si>
  <si>
    <t>Last BCP test</t>
  </si>
  <si>
    <t>SOC 2 GAP ASSESSMENT</t>
  </si>
  <si>
    <t>Identify control gaps before your audit. Fix them before fieldwork begins.</t>
  </si>
  <si>
    <t>Control Requirement</t>
  </si>
  <si>
    <t>Current State</t>
  </si>
  <si>
    <t>Gap Identified</t>
  </si>
  <si>
    <t>Risk if Unresolved</t>
  </si>
  <si>
    <t>Remediation Owner</t>
  </si>
  <si>
    <t>Target Date</t>
  </si>
  <si>
    <t>MFA required for all users</t>
  </si>
  <si>
    <t>MFA enforced for admins only. Standard users not yet enrolled.</t>
  </si>
  <si>
    <t>MFA not enforced for all users — auditor will flag as exception</t>
  </si>
  <si>
    <t>High</t>
  </si>
  <si>
    <t>Access revoked within 24hrs of termination</t>
  </si>
  <si>
    <t>Current SLA is 5 business days. Some accounts active for weeks post-termination.</t>
  </si>
  <si>
    <t>Termination SLA not met — access revocation too slow</t>
  </si>
  <si>
    <t>Critical vulns remediated within 30 days</t>
  </si>
  <si>
    <t>No formal SLA exists. Remediation ad hoc and undocumented.</t>
  </si>
  <si>
    <t>No documented patch SLA — no evidence of timely remediation</t>
  </si>
  <si>
    <t>IR plan tested annually</t>
  </si>
  <si>
    <t>IR plan exists but no tabletop exercise conducted in last 18 months.</t>
  </si>
  <si>
    <t>IR plan untested — auditor will question effectiveness</t>
  </si>
  <si>
    <t>Medium</t>
  </si>
  <si>
    <t>All changes go through formal approval</t>
  </si>
  <si>
    <t>Emergency changes sometimes deployed without tickets.</t>
  </si>
  <si>
    <t>Undocumented emergency changes — change management gaps</t>
  </si>
  <si>
    <t>All critical vendors assessed annually</t>
  </si>
  <si>
    <t>3 of 8 critical vendors have assessments older than 12 months.</t>
  </si>
  <si>
    <t>Stale vendor assessments — TPRM program not current</t>
  </si>
  <si>
    <t>All policies reviewed within last 12 months</t>
  </si>
  <si>
    <t>4 policies have not been reviewed or re-approved in over 18 months.</t>
  </si>
  <si>
    <t>Outdated policies — evidence of policy management weakness</t>
  </si>
  <si>
    <t>Backups tested and verified quarterly</t>
  </si>
  <si>
    <t>Backups scheduled but restore tests not documented.</t>
  </si>
  <si>
    <t>No documented backup restore evidence</t>
  </si>
  <si>
    <t>Annual risk assessment completed</t>
  </si>
  <si>
    <t>Last formal risk assessment was 14 months ago.</t>
  </si>
  <si>
    <t>Risk assessment overdue — annual requirement not met</t>
  </si>
  <si>
    <t>Privacy notice current and published</t>
  </si>
  <si>
    <t>Privacy policy last updated 2 years ago. GDPR changes not reflected.</t>
  </si>
  <si>
    <t>Privacy policy outdated — regulatory gap</t>
  </si>
  <si>
    <t>SOC 2 AUDIT PREP CHECKLIST</t>
  </si>
  <si>
    <t>Complete every item before fieldwork begins. Share with your auditor on kickoff day.</t>
  </si>
  <si>
    <t>PRE-AUDIT — 90 DAYS BEFORE FIELDWORK</t>
  </si>
  <si>
    <t>#</t>
  </si>
  <si>
    <t>Task</t>
  </si>
  <si>
    <t>Description</t>
  </si>
  <si>
    <t>Owner</t>
  </si>
  <si>
    <t>Done?</t>
  </si>
  <si>
    <t>Notes</t>
  </si>
  <si>
    <t>Complete gap assessment</t>
  </si>
  <si>
    <t>Identify all control gaps using the Gap Assessment tab</t>
  </si>
  <si>
    <t>Remediate critical gaps</t>
  </si>
  <si>
    <t>Fix all High risk gaps before fieldwork — these will result in exceptions</t>
  </si>
  <si>
    <t>Confirm audit scope</t>
  </si>
  <si>
    <t>Agree system boundaries, TSCs in scope, and audit period with auditor</t>
  </si>
  <si>
    <t>Brief internal teams</t>
  </si>
  <si>
    <t>Notify IT, Engineering, HR, and Legal of audit timeline and their responsibilities</t>
  </si>
  <si>
    <t>Assign evidence owners</t>
  </si>
  <si>
    <t>Every control in the Evidence Tracker must have a named owner</t>
  </si>
  <si>
    <t>Set up evidence repository</t>
  </si>
  <si>
    <t>Create shared folder structure for audit evidence — one folder per TSC</t>
  </si>
  <si>
    <t>PRE-AUDIT — 30 DAYS BEFORE FIELDWORK</t>
  </si>
  <si>
    <t>Collect all evidence</t>
  </si>
  <si>
    <t>All Evidence Tracker items should be Complete before fieldwork starts</t>
  </si>
  <si>
    <t>All owners</t>
  </si>
  <si>
    <t>Conduct internal control testing</t>
  </si>
  <si>
    <t>Run through Control Testing Log — identify and fix any failures</t>
  </si>
  <si>
    <t>GRC / Audit</t>
  </si>
  <si>
    <t>Review policy currency</t>
  </si>
  <si>
    <t>Verify all policies are approved, dated, and staff-acknowledged</t>
  </si>
  <si>
    <t>Verify vendor assessments</t>
  </si>
  <si>
    <t>All critical vendors must have current assessments and SOC 2 reports</t>
  </si>
  <si>
    <t>Confirm backup test evidence</t>
  </si>
  <si>
    <t>Restore test must be documented within last 12 months</t>
  </si>
  <si>
    <t>Review access certification</t>
  </si>
  <si>
    <t>Complete quarterly access review before fieldwork begins</t>
  </si>
  <si>
    <t>Run vulnerability scan</t>
  </si>
  <si>
    <t>Ensure latest scan results are available and critical findings remediated</t>
  </si>
  <si>
    <t>Prepare management responses</t>
  </si>
  <si>
    <t>Draft responses to any known exceptions or prior year findings</t>
  </si>
  <si>
    <t>FIELDWORK — AUDITOR KICKOFF</t>
  </si>
  <si>
    <t>Provide system description</t>
  </si>
  <si>
    <t>Draft or review the system description document with your auditor</t>
  </si>
  <si>
    <t>Share evidence repository access</t>
  </si>
  <si>
    <t>Grant auditor read-only access to evidence folder</t>
  </si>
  <si>
    <t>Introduce key contacts</t>
  </si>
  <si>
    <t>Connect auditor with IT lead, security lead, and HR contact</t>
  </si>
  <si>
    <t>Agree sample selection process</t>
  </si>
  <si>
    <t>Understand what samples auditor will request — prepare population lists</t>
  </si>
  <si>
    <t>Set weekly status cadence</t>
  </si>
  <si>
    <t>Schedule weekly check-ins with auditor for duration of fieldwork</t>
  </si>
  <si>
    <t>FIELDWORK — DURING AUDIT</t>
  </si>
  <si>
    <t>Respond to PBC requests within 48hrs</t>
  </si>
  <si>
    <t>PBC = Provided By Client. Treat every auditor request as urgent</t>
  </si>
  <si>
    <t>Track open items daily</t>
  </si>
  <si>
    <t>Maintain a log of outstanding auditor requests and chase owners</t>
  </si>
  <si>
    <t>Review draft exceptions promptly</t>
  </si>
  <si>
    <t>If auditor flags an exception, respond with context or remediation evidence</t>
  </si>
  <si>
    <t>Do not alter evidence after submission</t>
  </si>
  <si>
    <t>Never modify submitted evidence — this is a serious audit integrity issue</t>
  </si>
  <si>
    <t>Escalate blockers immediately</t>
  </si>
  <si>
    <t>If an owner is unresponsive, escalate to their manager same day</t>
  </si>
  <si>
    <t>POST-FIELDWORK</t>
  </si>
  <si>
    <t>Review management letter / draft report</t>
  </si>
  <si>
    <t>Review carefully — dispute any findings you have evidence to refute</t>
  </si>
  <si>
    <t>Every exception requires a management response with remediation plan</t>
  </si>
  <si>
    <t>Update gap assessment</t>
  </si>
  <si>
    <t>Log any new gaps identified during audit for next cycle</t>
  </si>
  <si>
    <t>Schedule remediation actions</t>
  </si>
  <si>
    <t>All exceptions must have owners and due dates before report is finalised</t>
  </si>
  <si>
    <t>Distribute final report</t>
  </si>
  <si>
    <t>Share SOC 2 report with customers and prospects as required</t>
  </si>
  <si>
    <t>Legal / Sales</t>
  </si>
  <si>
    <t>Begin next audit cycle prep</t>
  </si>
  <si>
    <t>Start evidence collection for next period on day one of new audit window</t>
  </si>
  <si>
    <t>PBC REQUEST TRACKER — PROVIDED BY CLIENT</t>
  </si>
  <si>
    <t>Track every auditor request. Respond within 48 hours. Never miss a deadline.</t>
  </si>
  <si>
    <t>PBC #</t>
  </si>
  <si>
    <t>Date Requested</t>
  </si>
  <si>
    <t>Auditor Request</t>
  </si>
  <si>
    <t>Related Control</t>
  </si>
  <si>
    <t>Assigned To</t>
  </si>
  <si>
    <t>Response / Link</t>
  </si>
  <si>
    <t>PBC-001</t>
  </si>
  <si>
    <t>User access list for all production systems as of audit period end date</t>
  </si>
  <si>
    <t>PBC-002</t>
  </si>
  <si>
    <t>MFA configuration screenshots showing enforcement for all user types</t>
  </si>
  <si>
    <t>PBC-003</t>
  </si>
  <si>
    <t>List of all employees terminated during audit period with access revocation dates</t>
  </si>
  <si>
    <t>PBC-004</t>
  </si>
  <si>
    <t>Vulnerability scan results for last four quarters</t>
  </si>
  <si>
    <t>PBC-005</t>
  </si>
  <si>
    <t>EDR coverage report showing deployment across all endpoints</t>
  </si>
  <si>
    <t>PBC-006</t>
  </si>
  <si>
    <t>Change management log for all production changes during audit period</t>
  </si>
  <si>
    <t>PBC-007</t>
  </si>
  <si>
    <t>Incident log for full audit period with severity and closure dates</t>
  </si>
  <si>
    <t>PBC-008</t>
  </si>
  <si>
    <t>Vendor risk register with assessment dates for all critical vendors</t>
  </si>
  <si>
    <t>PBC-009</t>
  </si>
  <si>
    <t>Backup test results from most recent restore test</t>
  </si>
  <si>
    <t>PBC-010</t>
  </si>
  <si>
    <t>All security policies with approval dates and version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</si>
</sst>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theme="0"/>
      <name val="Arial"/>
    </font>
    <font>
      <b/>
      <sz val="10.0"/>
      <color rgb="FFFFFFFF"/>
      <name val="Arial"/>
    </font>
    <font>
      <b/>
      <sz val="10.0"/>
      <color rgb="FF185FA5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10.0"/>
      <color rgb="FF085041"/>
      <name val="Arial"/>
    </font>
    <font>
      <b/>
      <sz val="10.0"/>
      <color rgb="FF3C3489"/>
      <name val="Arial"/>
    </font>
    <font>
      <b/>
      <sz val="10.0"/>
      <color rgb="FF854F0B"/>
      <name val="Arial"/>
    </font>
    <font>
      <b/>
      <sz val="10.0"/>
      <color rgb="FF3B6D11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9.0"/>
      <color rgb="FF1A1A1A"/>
      <name val="Arial"/>
    </font>
    <font>
      <sz val="9.0"/>
      <color rgb="FF1A1A1A"/>
      <name val="Arial"/>
    </font>
    <font>
      <i/>
      <sz val="10.0"/>
      <color rgb="FFE6F1FB"/>
      <name val="Arial"/>
    </font>
    <font>
      <b/>
      <sz val="9.0"/>
      <color rgb="FF185FA5"/>
      <name val="Arial"/>
    </font>
    <font>
      <b/>
      <sz val="9.0"/>
      <color rgb="FF085041"/>
      <name val="Arial"/>
    </font>
    <font>
      <b/>
      <sz val="9.0"/>
      <color rgb="FF3C3489"/>
      <name val="Arial"/>
    </font>
    <font>
      <b/>
      <sz val="9.0"/>
      <color rgb="FF854F0B"/>
      <name val="Arial"/>
    </font>
    <font>
      <b/>
      <sz val="9.0"/>
      <color rgb="FF3B6D11"/>
      <name val="Arial"/>
    </font>
    <font>
      <color theme="1"/>
      <name val="Calibri"/>
      <scheme val="minor"/>
    </font>
    <font>
      <b/>
      <sz val="9.0"/>
      <color rgb="FFA32D2D"/>
      <name val="Arial"/>
    </font>
    <font>
      <b/>
      <sz val="9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E6F1FB"/>
        <bgColor rgb="FFE6F1FB"/>
      </patternFill>
    </fill>
    <fill>
      <patternFill patternType="solid">
        <fgColor rgb="FFE1F5EE"/>
        <bgColor rgb="FFE1F5EE"/>
      </patternFill>
    </fill>
    <fill>
      <patternFill patternType="solid">
        <fgColor rgb="FFEEEDFE"/>
        <bgColor rgb="FFEEEDFE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  <fill>
      <patternFill patternType="solid">
        <fgColor rgb="FF6FA8DC"/>
        <bgColor rgb="FF6FA8DC"/>
      </patternFill>
    </fill>
    <fill>
      <patternFill patternType="solid">
        <fgColor rgb="FFF5F5F3"/>
        <bgColor rgb="FFF5F5F3"/>
      </patternFill>
    </fill>
    <fill>
      <patternFill patternType="solid">
        <fgColor rgb="FFFFFFFF"/>
        <bgColor rgb="FFFFFFFF"/>
      </patternFill>
    </fill>
    <fill>
      <patternFill patternType="solid">
        <fgColor rgb="FF4C1130"/>
        <bgColor rgb="FF4C1130"/>
      </patternFill>
    </fill>
    <fill>
      <patternFill patternType="solid">
        <fgColor rgb="FF741B47"/>
        <bgColor rgb="FF741B47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A32D2D"/>
        <bgColor rgb="FFA32D2D"/>
      </patternFill>
    </fill>
    <fill>
      <patternFill patternType="solid">
        <fgColor rgb="FFFCEBEB"/>
        <bgColor rgb="FFFCEBEB"/>
      </patternFill>
    </fill>
    <fill>
      <patternFill patternType="solid">
        <fgColor rgb="FF185FA5"/>
        <bgColor rgb="FF185FA5"/>
      </patternFill>
    </fill>
    <fill>
      <patternFill patternType="solid">
        <fgColor rgb="FFC27BA0"/>
        <bgColor rgb="FFC27BA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6" fontId="8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4" fillId="7" fontId="9" numFmtId="0" xfId="0" applyAlignment="1" applyBorder="1" applyFill="1" applyFont="1">
      <alignment horizontal="left" shrinkToFit="0" vertical="center" wrapText="0"/>
    </xf>
    <xf borderId="4" fillId="7" fontId="6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7" fontId="9" numFmtId="0" xfId="0" applyAlignment="1" applyBorder="1" applyFont="1">
      <alignment horizontal="center" shrinkToFit="0" vertical="center" wrapText="0"/>
    </xf>
    <xf borderId="4" fillId="8" fontId="10" numFmtId="0" xfId="0" applyAlignment="1" applyBorder="1" applyFill="1" applyFont="1">
      <alignment horizontal="left" shrinkToFit="0" vertical="center" wrapText="0"/>
    </xf>
    <xf borderId="4" fillId="8" fontId="6" numFmtId="0" xfId="0" applyAlignment="1" applyBorder="1" applyFont="1">
      <alignment horizontal="center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0"/>
    </xf>
    <xf borderId="4" fillId="9" fontId="11" numFmtId="0" xfId="0" applyAlignment="1" applyBorder="1" applyFill="1" applyFont="1">
      <alignment horizontal="left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9" fontId="11" numFmtId="0" xfId="0" applyAlignment="1" applyBorder="1" applyFont="1">
      <alignment horizontal="center" shrinkToFit="0" vertical="center" wrapText="0"/>
    </xf>
    <xf borderId="4" fillId="10" fontId="12" numFmtId="0" xfId="0" applyAlignment="1" applyBorder="1" applyFill="1" applyFont="1">
      <alignment horizontal="left" shrinkToFit="0" vertical="center" wrapText="0"/>
    </xf>
    <xf borderId="4" fillId="10" fontId="12" numFmtId="0" xfId="0" applyAlignment="1" applyBorder="1" applyFont="1">
      <alignment horizontal="center" shrinkToFit="0" vertical="center" wrapText="0"/>
    </xf>
    <xf borderId="4" fillId="10" fontId="13" numFmtId="0" xfId="0" applyAlignment="1" applyBorder="1" applyFont="1">
      <alignment horizontal="center" shrinkToFit="0" vertical="center" wrapText="0"/>
    </xf>
    <xf borderId="5" fillId="10" fontId="12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11" fontId="14" numFmtId="0" xfId="0" applyAlignment="1" applyBorder="1" applyFill="1" applyFont="1">
      <alignment horizontal="left" shrinkToFit="0" vertical="center" wrapText="0"/>
    </xf>
    <xf borderId="4" fillId="12" fontId="15" numFmtId="0" xfId="0" applyAlignment="1" applyBorder="1" applyFill="1" applyFont="1">
      <alignment horizontal="left" shrinkToFit="0" vertical="center" wrapText="0"/>
    </xf>
    <xf borderId="5" fillId="12" fontId="15" numFmtId="0" xfId="0" applyAlignment="1" applyBorder="1" applyFont="1">
      <alignment horizontal="left" shrinkToFit="0" vertical="center" wrapText="0"/>
    </xf>
    <xf borderId="8" fillId="0" fontId="2" numFmtId="0" xfId="0" applyBorder="1" applyFont="1"/>
    <xf borderId="1" fillId="13" fontId="1" numFmtId="0" xfId="0" applyAlignment="1" applyBorder="1" applyFill="1" applyFont="1">
      <alignment horizontal="center" shrinkToFit="0" vertical="center" wrapText="0"/>
    </xf>
    <xf borderId="1" fillId="14" fontId="16" numFmtId="0" xfId="0" applyAlignment="1" applyBorder="1" applyFill="1" applyFont="1">
      <alignment horizontal="center" shrinkToFit="0" vertical="center" wrapText="0"/>
    </xf>
    <xf borderId="4" fillId="15" fontId="4" numFmtId="0" xfId="0" applyAlignment="1" applyBorder="1" applyFill="1" applyFont="1">
      <alignment horizontal="center" shrinkToFit="0" vertical="center" wrapText="1"/>
    </xf>
    <xf borderId="4" fillId="5" fontId="17" numFmtId="0" xfId="0" applyAlignment="1" applyBorder="1" applyFont="1">
      <alignment horizontal="left" shrinkToFit="0" vertical="center" wrapText="1"/>
    </xf>
    <xf borderId="4" fillId="12" fontId="15" numFmtId="0" xfId="0" applyAlignment="1" applyBorder="1" applyFont="1">
      <alignment horizontal="left" shrinkToFit="0" vertical="center" wrapText="1"/>
    </xf>
    <xf borderId="4" fillId="11" fontId="15" numFmtId="0" xfId="0" applyAlignment="1" applyBorder="1" applyFont="1">
      <alignment horizontal="left" shrinkToFit="0" vertical="center" wrapText="1"/>
    </xf>
    <xf borderId="4" fillId="6" fontId="18" numFmtId="0" xfId="0" applyAlignment="1" applyBorder="1" applyFont="1">
      <alignment horizontal="left" shrinkToFit="0" vertical="center" wrapText="1"/>
    </xf>
    <xf borderId="4" fillId="7" fontId="19" numFmtId="0" xfId="0" applyAlignment="1" applyBorder="1" applyFont="1">
      <alignment horizontal="left" shrinkToFit="0" vertical="center" wrapText="1"/>
    </xf>
    <xf borderId="4" fillId="8" fontId="20" numFmtId="0" xfId="0" applyAlignment="1" applyBorder="1" applyFont="1">
      <alignment horizontal="left" shrinkToFit="0" vertical="center" wrapText="1"/>
    </xf>
    <xf borderId="4" fillId="9" fontId="21" numFmtId="0" xfId="0" applyAlignment="1" applyBorder="1" applyFont="1">
      <alignment horizontal="left" shrinkToFit="0" vertical="center" wrapText="1"/>
    </xf>
    <xf borderId="0" fillId="0" fontId="22" numFmtId="0" xfId="0" applyFont="1"/>
    <xf borderId="4" fillId="16" fontId="4" numFmtId="0" xfId="0" applyAlignment="1" applyBorder="1" applyFill="1" applyFont="1">
      <alignment horizontal="center" shrinkToFit="0" vertical="center" wrapText="1"/>
    </xf>
    <xf borderId="4" fillId="17" fontId="4" numFmtId="0" xfId="0" applyAlignment="1" applyBorder="1" applyFill="1" applyFont="1">
      <alignment horizontal="center" shrinkToFit="0" vertical="center" wrapText="1"/>
    </xf>
    <xf borderId="4" fillId="18" fontId="23" numFmtId="0" xfId="0" applyAlignment="1" applyBorder="1" applyFill="1" applyFont="1">
      <alignment horizontal="left" shrinkToFit="0" vertical="center" wrapText="1"/>
    </xf>
    <xf borderId="5" fillId="16" fontId="12" numFmtId="0" xfId="0" applyAlignment="1" applyBorder="1" applyFont="1">
      <alignment horizontal="left" shrinkToFit="0" vertical="center" wrapText="0"/>
    </xf>
    <xf borderId="4" fillId="19" fontId="24" numFmtId="0" xfId="0" applyAlignment="1" applyBorder="1" applyFill="1" applyFont="1">
      <alignment horizontal="center" shrinkToFit="0" vertical="center" wrapText="0"/>
    </xf>
    <xf borderId="4" fillId="12" fontId="14" numFmtId="0" xfId="0" applyAlignment="1" applyBorder="1" applyFont="1">
      <alignment horizontal="center" shrinkToFit="0" vertical="center" wrapText="0"/>
    </xf>
    <xf borderId="4" fillId="11" fontId="14" numFmtId="0" xfId="0" applyAlignment="1" applyBorder="1" applyFont="1">
      <alignment horizontal="center" shrinkToFit="0" vertical="center" wrapText="0"/>
    </xf>
    <xf borderId="5" fillId="20" fontId="12" numFmtId="0" xfId="0" applyAlignment="1" applyBorder="1" applyFill="1" applyFont="1">
      <alignment horizontal="left" shrinkToFit="0" vertical="center" wrapText="0"/>
    </xf>
    <xf borderId="1" fillId="14" fontId="1" numFmtId="0" xfId="0" applyAlignment="1" applyBorder="1" applyFont="1">
      <alignment horizontal="center" shrinkToFit="0" vertical="center" wrapText="0"/>
    </xf>
    <xf borderId="1" fillId="16" fontId="16" numFmtId="0" xfId="0" applyAlignment="1" applyBorder="1" applyFont="1">
      <alignment horizontal="center" shrinkToFit="0" vertical="center" wrapText="0"/>
    </xf>
    <xf borderId="4" fillId="12" fontId="14" numFmtId="0" xfId="0" applyAlignment="1" applyBorder="1" applyFont="1">
      <alignment horizontal="left" shrinkToFit="0" vertical="center" wrapText="1"/>
    </xf>
    <xf borderId="4" fillId="11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b/>
        <color rgb="FF3B6D11"/>
        <name val="Arial"/>
      </font>
      <fill>
        <patternFill patternType="solid">
          <fgColor rgb="FFEAF3DE"/>
          <bgColor rgb="FFEAF3DE"/>
        </patternFill>
      </fill>
      <border/>
    </dxf>
    <dxf>
      <font>
        <b/>
        <color rgb="FF854F0B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color rgb="FFA32D2D"/>
        <name val="Arial"/>
      </font>
      <fill>
        <patternFill patternType="solid">
          <fgColor rgb="FFFCEBEB"/>
          <bgColor rgb="FFFCEB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C5E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6" width="14.0"/>
    <col customWidth="1" min="7" max="7" width="22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2"/>
      <c r="C2" s="2"/>
      <c r="D2" s="2"/>
      <c r="E2" s="2"/>
      <c r="F2" s="2"/>
      <c r="G2" s="3"/>
    </row>
    <row r="3" ht="6.0" customHeight="1"/>
    <row r="4" ht="31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5.5" customHeight="1">
      <c r="A5" s="6" t="s">
        <v>9</v>
      </c>
      <c r="B5" s="7">
        <v>33.0</v>
      </c>
      <c r="C5" s="8">
        <v>0.0</v>
      </c>
      <c r="D5" s="8">
        <v>0.0</v>
      </c>
      <c r="E5" s="8">
        <v>0.0</v>
      </c>
      <c r="F5" s="9" t="str">
        <f t="shared" ref="F5:F10" si="1">IF(B5=0,"",TEXT(C5/B5,"0%"))</f>
        <v>0%</v>
      </c>
      <c r="G5" s="9" t="str">
        <f t="shared" ref="G5:G9" si="2">IF(B5=0,"",IF(C5=B5,"Ready",IF(C5=0,"Not Started","In Progress")))</f>
        <v>Not Started</v>
      </c>
    </row>
    <row r="6" ht="25.5" customHeight="1">
      <c r="A6" s="10" t="s">
        <v>10</v>
      </c>
      <c r="B6" s="11">
        <v>4.0</v>
      </c>
      <c r="C6" s="12">
        <v>0.0</v>
      </c>
      <c r="D6" s="12">
        <v>0.0</v>
      </c>
      <c r="E6" s="12">
        <v>0.0</v>
      </c>
      <c r="F6" s="13" t="str">
        <f t="shared" si="1"/>
        <v>0%</v>
      </c>
      <c r="G6" s="13" t="str">
        <f t="shared" si="2"/>
        <v>Not Started</v>
      </c>
    </row>
    <row r="7" ht="25.5" customHeight="1">
      <c r="A7" s="14" t="s">
        <v>11</v>
      </c>
      <c r="B7" s="15">
        <v>3.0</v>
      </c>
      <c r="C7" s="16">
        <v>0.0</v>
      </c>
      <c r="D7" s="16">
        <v>0.0</v>
      </c>
      <c r="E7" s="16">
        <v>0.0</v>
      </c>
      <c r="F7" s="17" t="str">
        <f t="shared" si="1"/>
        <v>0%</v>
      </c>
      <c r="G7" s="17" t="str">
        <f t="shared" si="2"/>
        <v>Not Started</v>
      </c>
    </row>
    <row r="8" ht="25.5" customHeight="1">
      <c r="A8" s="18" t="s">
        <v>12</v>
      </c>
      <c r="B8" s="19">
        <v>4.0</v>
      </c>
      <c r="C8" s="20">
        <v>0.0</v>
      </c>
      <c r="D8" s="20">
        <v>0.0</v>
      </c>
      <c r="E8" s="20">
        <v>0.0</v>
      </c>
      <c r="F8" s="21" t="str">
        <f t="shared" si="1"/>
        <v>0%</v>
      </c>
      <c r="G8" s="21" t="str">
        <f t="shared" si="2"/>
        <v>Not Started</v>
      </c>
    </row>
    <row r="9" ht="25.5" customHeight="1">
      <c r="A9" s="22" t="s">
        <v>13</v>
      </c>
      <c r="B9" s="23">
        <v>8.0</v>
      </c>
      <c r="C9" s="24">
        <v>0.0</v>
      </c>
      <c r="D9" s="24">
        <v>0.0</v>
      </c>
      <c r="E9" s="24">
        <v>0.0</v>
      </c>
      <c r="F9" s="25" t="str">
        <f t="shared" si="1"/>
        <v>0%</v>
      </c>
      <c r="G9" s="25" t="str">
        <f t="shared" si="2"/>
        <v>Not Started</v>
      </c>
    </row>
    <row r="10" ht="27.75" customHeight="1">
      <c r="A10" s="26" t="s">
        <v>14</v>
      </c>
      <c r="B10" s="27">
        <f t="shared" ref="B10:E10" si="3">SUM(B5:B9)</f>
        <v>52</v>
      </c>
      <c r="C10" s="27">
        <f t="shared" si="3"/>
        <v>0</v>
      </c>
      <c r="D10" s="27">
        <f t="shared" si="3"/>
        <v>0</v>
      </c>
      <c r="E10" s="27">
        <f t="shared" si="3"/>
        <v>0</v>
      </c>
      <c r="F10" s="28" t="str">
        <f t="shared" si="1"/>
        <v>0%</v>
      </c>
      <c r="G10" s="27" t="str">
        <f>IF(C10=B10,"AUDIT READY",IF(C10=0,"NOT STARTED","IN PROGRESS"))</f>
        <v>NOT STARTED</v>
      </c>
    </row>
    <row r="12" ht="7.5" customHeight="1"/>
    <row r="13" ht="25.5" customHeight="1">
      <c r="A13" s="29" t="s">
        <v>15</v>
      </c>
      <c r="B13" s="30"/>
      <c r="C13" s="30"/>
      <c r="D13" s="30"/>
      <c r="E13" s="30"/>
      <c r="F13" s="30"/>
      <c r="G13" s="31"/>
    </row>
    <row r="14" ht="24.0" customHeight="1">
      <c r="A14" s="32" t="s">
        <v>16</v>
      </c>
      <c r="B14" s="33"/>
      <c r="C14" s="32" t="s">
        <v>17</v>
      </c>
      <c r="D14" s="34"/>
      <c r="E14" s="30"/>
      <c r="F14" s="30"/>
      <c r="G14" s="35"/>
    </row>
    <row r="15" ht="24.0" customHeight="1">
      <c r="A15" s="32" t="s">
        <v>18</v>
      </c>
      <c r="B15" s="33"/>
      <c r="C15" s="32" t="s">
        <v>19</v>
      </c>
      <c r="D15" s="34"/>
      <c r="E15" s="30"/>
      <c r="F15" s="30"/>
      <c r="G15" s="35"/>
    </row>
    <row r="16" ht="24.0" customHeight="1">
      <c r="A16" s="32" t="s">
        <v>20</v>
      </c>
      <c r="B16" s="33"/>
      <c r="C16" s="32" t="s">
        <v>21</v>
      </c>
      <c r="D16" s="34"/>
      <c r="E16" s="30"/>
      <c r="F16" s="30"/>
      <c r="G16" s="35"/>
    </row>
    <row r="17" ht="24.0" customHeight="1">
      <c r="A17" s="32" t="s">
        <v>22</v>
      </c>
      <c r="B17" s="33"/>
      <c r="C17" s="32" t="s">
        <v>23</v>
      </c>
      <c r="D17" s="34"/>
      <c r="E17" s="30"/>
      <c r="F17" s="30"/>
      <c r="G17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13:G13"/>
    <mergeCell ref="D14:G14"/>
    <mergeCell ref="D15:G15"/>
    <mergeCell ref="D16:G16"/>
    <mergeCell ref="D17:G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6.0"/>
    <col customWidth="1" min="4" max="4" width="30.0"/>
    <col customWidth="1" min="5" max="5" width="16.0"/>
    <col customWidth="1" min="6" max="6" width="20.0"/>
    <col customWidth="1" min="7" max="8" width="13.0"/>
    <col customWidth="1" min="9" max="10" width="24.0"/>
    <col customWidth="1" min="11" max="26" width="8.71"/>
  </cols>
  <sheetData>
    <row r="1" ht="36.0" customHeight="1">
      <c r="A1" s="36" t="s">
        <v>24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37" t="s">
        <v>25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36.0" customHeight="1">
      <c r="A4" s="38" t="s">
        <v>26</v>
      </c>
      <c r="B4" s="38" t="s">
        <v>27</v>
      </c>
      <c r="C4" s="38" t="s">
        <v>28</v>
      </c>
      <c r="D4" s="38" t="s">
        <v>29</v>
      </c>
      <c r="E4" s="38" t="s">
        <v>30</v>
      </c>
      <c r="F4" s="38" t="s">
        <v>31</v>
      </c>
      <c r="G4" s="38" t="s">
        <v>32</v>
      </c>
      <c r="H4" s="38" t="s">
        <v>8</v>
      </c>
      <c r="I4" s="38" t="s">
        <v>33</v>
      </c>
      <c r="J4" s="38" t="s">
        <v>34</v>
      </c>
    </row>
    <row r="5" ht="33.75" customHeight="1">
      <c r="A5" s="39" t="s">
        <v>35</v>
      </c>
      <c r="B5" s="39" t="s">
        <v>36</v>
      </c>
      <c r="C5" s="40" t="s">
        <v>37</v>
      </c>
      <c r="D5" s="40" t="s">
        <v>38</v>
      </c>
      <c r="E5" s="40" t="s">
        <v>39</v>
      </c>
      <c r="F5" s="40" t="s">
        <v>40</v>
      </c>
      <c r="G5" s="40"/>
      <c r="H5" s="40"/>
      <c r="I5" s="40"/>
      <c r="J5" s="40"/>
    </row>
    <row r="6" ht="33.75" customHeight="1">
      <c r="A6" s="39" t="s">
        <v>41</v>
      </c>
      <c r="B6" s="39" t="s">
        <v>36</v>
      </c>
      <c r="C6" s="41" t="s">
        <v>42</v>
      </c>
      <c r="D6" s="41" t="s">
        <v>43</v>
      </c>
      <c r="E6" s="41" t="s">
        <v>44</v>
      </c>
      <c r="F6" s="41" t="s">
        <v>45</v>
      </c>
      <c r="G6" s="41"/>
      <c r="H6" s="41"/>
      <c r="I6" s="41"/>
      <c r="J6" s="41"/>
    </row>
    <row r="7" ht="33.75" customHeight="1">
      <c r="A7" s="39" t="s">
        <v>46</v>
      </c>
      <c r="B7" s="39" t="s">
        <v>36</v>
      </c>
      <c r="C7" s="40" t="s">
        <v>47</v>
      </c>
      <c r="D7" s="40" t="s">
        <v>48</v>
      </c>
      <c r="E7" s="40" t="s">
        <v>49</v>
      </c>
      <c r="F7" s="40" t="s">
        <v>50</v>
      </c>
      <c r="G7" s="40"/>
      <c r="H7" s="40"/>
      <c r="I7" s="40"/>
      <c r="J7" s="40"/>
    </row>
    <row r="8" ht="33.75" customHeight="1">
      <c r="A8" s="39" t="s">
        <v>51</v>
      </c>
      <c r="B8" s="39" t="s">
        <v>36</v>
      </c>
      <c r="C8" s="41" t="s">
        <v>52</v>
      </c>
      <c r="D8" s="41" t="s">
        <v>53</v>
      </c>
      <c r="E8" s="41" t="s">
        <v>54</v>
      </c>
      <c r="F8" s="41" t="s">
        <v>55</v>
      </c>
      <c r="G8" s="41"/>
      <c r="H8" s="41"/>
      <c r="I8" s="41"/>
      <c r="J8" s="41"/>
    </row>
    <row r="9" ht="33.75" customHeight="1">
      <c r="A9" s="39" t="s">
        <v>56</v>
      </c>
      <c r="B9" s="39" t="s">
        <v>36</v>
      </c>
      <c r="C9" s="40" t="s">
        <v>57</v>
      </c>
      <c r="D9" s="40" t="s">
        <v>58</v>
      </c>
      <c r="E9" s="40" t="s">
        <v>49</v>
      </c>
      <c r="F9" s="40" t="s">
        <v>59</v>
      </c>
      <c r="G9" s="40"/>
      <c r="H9" s="40"/>
      <c r="I9" s="40"/>
      <c r="J9" s="40"/>
    </row>
    <row r="10" ht="33.75" customHeight="1">
      <c r="A10" s="39" t="s">
        <v>60</v>
      </c>
      <c r="B10" s="39" t="s">
        <v>36</v>
      </c>
      <c r="C10" s="41" t="s">
        <v>61</v>
      </c>
      <c r="D10" s="41" t="s">
        <v>62</v>
      </c>
      <c r="E10" s="41" t="s">
        <v>63</v>
      </c>
      <c r="F10" s="41" t="s">
        <v>64</v>
      </c>
      <c r="G10" s="41"/>
      <c r="H10" s="41"/>
      <c r="I10" s="41"/>
      <c r="J10" s="41"/>
    </row>
    <row r="11" ht="33.75" customHeight="1">
      <c r="A11" s="39" t="s">
        <v>65</v>
      </c>
      <c r="B11" s="39" t="s">
        <v>36</v>
      </c>
      <c r="C11" s="40" t="s">
        <v>66</v>
      </c>
      <c r="D11" s="40" t="s">
        <v>67</v>
      </c>
      <c r="E11" s="40" t="s">
        <v>68</v>
      </c>
      <c r="F11" s="40" t="s">
        <v>69</v>
      </c>
      <c r="G11" s="40"/>
      <c r="H11" s="40"/>
      <c r="I11" s="40"/>
      <c r="J11" s="40"/>
    </row>
    <row r="12" ht="33.75" customHeight="1">
      <c r="A12" s="39" t="s">
        <v>70</v>
      </c>
      <c r="B12" s="39" t="s">
        <v>36</v>
      </c>
      <c r="C12" s="41" t="s">
        <v>71</v>
      </c>
      <c r="D12" s="41" t="s">
        <v>72</v>
      </c>
      <c r="E12" s="41" t="s">
        <v>73</v>
      </c>
      <c r="F12" s="41" t="s">
        <v>74</v>
      </c>
      <c r="G12" s="41"/>
      <c r="H12" s="41"/>
      <c r="I12" s="41"/>
      <c r="J12" s="41"/>
    </row>
    <row r="13" ht="33.75" customHeight="1">
      <c r="A13" s="39" t="s">
        <v>75</v>
      </c>
      <c r="B13" s="39" t="s">
        <v>36</v>
      </c>
      <c r="C13" s="40" t="s">
        <v>76</v>
      </c>
      <c r="D13" s="40" t="s">
        <v>77</v>
      </c>
      <c r="E13" s="40" t="s">
        <v>78</v>
      </c>
      <c r="F13" s="40" t="s">
        <v>79</v>
      </c>
      <c r="G13" s="40"/>
      <c r="H13" s="40"/>
      <c r="I13" s="40"/>
      <c r="J13" s="40"/>
    </row>
    <row r="14" ht="33.75" customHeight="1">
      <c r="A14" s="39" t="s">
        <v>80</v>
      </c>
      <c r="B14" s="39" t="s">
        <v>36</v>
      </c>
      <c r="C14" s="41" t="s">
        <v>81</v>
      </c>
      <c r="D14" s="41" t="s">
        <v>82</v>
      </c>
      <c r="E14" s="41" t="s">
        <v>83</v>
      </c>
      <c r="F14" s="41" t="s">
        <v>84</v>
      </c>
      <c r="G14" s="41"/>
      <c r="H14" s="41"/>
      <c r="I14" s="41"/>
      <c r="J14" s="41"/>
    </row>
    <row r="15" ht="33.75" customHeight="1">
      <c r="A15" s="39" t="s">
        <v>85</v>
      </c>
      <c r="B15" s="39" t="s">
        <v>36</v>
      </c>
      <c r="C15" s="40" t="s">
        <v>86</v>
      </c>
      <c r="D15" s="40" t="s">
        <v>87</v>
      </c>
      <c r="E15" s="40" t="s">
        <v>83</v>
      </c>
      <c r="F15" s="40" t="s">
        <v>88</v>
      </c>
      <c r="G15" s="40"/>
      <c r="H15" s="40"/>
      <c r="I15" s="40"/>
      <c r="J15" s="40"/>
    </row>
    <row r="16" ht="33.75" customHeight="1">
      <c r="A16" s="39" t="s">
        <v>89</v>
      </c>
      <c r="B16" s="39" t="s">
        <v>36</v>
      </c>
      <c r="C16" s="41" t="s">
        <v>90</v>
      </c>
      <c r="D16" s="41" t="s">
        <v>91</v>
      </c>
      <c r="E16" s="41" t="s">
        <v>83</v>
      </c>
      <c r="F16" s="41" t="s">
        <v>92</v>
      </c>
      <c r="G16" s="41"/>
      <c r="H16" s="41"/>
      <c r="I16" s="41"/>
      <c r="J16" s="41"/>
    </row>
    <row r="17" ht="33.75" customHeight="1">
      <c r="A17" s="39" t="s">
        <v>93</v>
      </c>
      <c r="B17" s="39" t="s">
        <v>36</v>
      </c>
      <c r="C17" s="40" t="s">
        <v>94</v>
      </c>
      <c r="D17" s="40" t="s">
        <v>95</v>
      </c>
      <c r="E17" s="40" t="s">
        <v>96</v>
      </c>
      <c r="F17" s="40" t="s">
        <v>97</v>
      </c>
      <c r="G17" s="40"/>
      <c r="H17" s="40"/>
      <c r="I17" s="40"/>
      <c r="J17" s="40"/>
    </row>
    <row r="18" ht="33.75" customHeight="1">
      <c r="A18" s="39" t="s">
        <v>98</v>
      </c>
      <c r="B18" s="39" t="s">
        <v>36</v>
      </c>
      <c r="C18" s="41" t="s">
        <v>99</v>
      </c>
      <c r="D18" s="41" t="s">
        <v>100</v>
      </c>
      <c r="E18" s="41" t="s">
        <v>39</v>
      </c>
      <c r="F18" s="41" t="s">
        <v>101</v>
      </c>
      <c r="G18" s="41"/>
      <c r="H18" s="41"/>
      <c r="I18" s="41"/>
      <c r="J18" s="41"/>
    </row>
    <row r="19" ht="33.75" customHeight="1">
      <c r="A19" s="39" t="s">
        <v>102</v>
      </c>
      <c r="B19" s="39" t="s">
        <v>36</v>
      </c>
      <c r="C19" s="40" t="s">
        <v>103</v>
      </c>
      <c r="D19" s="40" t="s">
        <v>104</v>
      </c>
      <c r="E19" s="40" t="s">
        <v>105</v>
      </c>
      <c r="F19" s="40" t="s">
        <v>106</v>
      </c>
      <c r="G19" s="40"/>
      <c r="H19" s="40"/>
      <c r="I19" s="40"/>
      <c r="J19" s="40"/>
    </row>
    <row r="20" ht="33.75" customHeight="1">
      <c r="A20" s="39" t="s">
        <v>107</v>
      </c>
      <c r="B20" s="39" t="s">
        <v>36</v>
      </c>
      <c r="C20" s="41" t="s">
        <v>108</v>
      </c>
      <c r="D20" s="41" t="s">
        <v>109</v>
      </c>
      <c r="E20" s="41" t="s">
        <v>110</v>
      </c>
      <c r="F20" s="41" t="s">
        <v>111</v>
      </c>
      <c r="G20" s="41"/>
      <c r="H20" s="41"/>
      <c r="I20" s="41"/>
      <c r="J20" s="41"/>
    </row>
    <row r="21" ht="33.75" customHeight="1">
      <c r="A21" s="39" t="s">
        <v>112</v>
      </c>
      <c r="B21" s="39" t="s">
        <v>36</v>
      </c>
      <c r="C21" s="40" t="s">
        <v>113</v>
      </c>
      <c r="D21" s="40" t="s">
        <v>114</v>
      </c>
      <c r="E21" s="40" t="s">
        <v>115</v>
      </c>
      <c r="F21" s="40" t="s">
        <v>116</v>
      </c>
      <c r="G21" s="40"/>
      <c r="H21" s="40"/>
      <c r="I21" s="40"/>
      <c r="J21" s="40"/>
    </row>
    <row r="22" ht="33.75" customHeight="1">
      <c r="A22" s="42" t="s">
        <v>117</v>
      </c>
      <c r="B22" s="42" t="s">
        <v>118</v>
      </c>
      <c r="C22" s="41" t="s">
        <v>119</v>
      </c>
      <c r="D22" s="41" t="s">
        <v>120</v>
      </c>
      <c r="E22" s="41" t="s">
        <v>121</v>
      </c>
      <c r="F22" s="41" t="s">
        <v>122</v>
      </c>
      <c r="G22" s="41"/>
      <c r="H22" s="41"/>
      <c r="I22" s="41"/>
      <c r="J22" s="41"/>
    </row>
    <row r="23" ht="33.75" customHeight="1">
      <c r="A23" s="42" t="s">
        <v>123</v>
      </c>
      <c r="B23" s="42" t="s">
        <v>118</v>
      </c>
      <c r="C23" s="40" t="s">
        <v>124</v>
      </c>
      <c r="D23" s="40" t="s">
        <v>125</v>
      </c>
      <c r="E23" s="40" t="s">
        <v>105</v>
      </c>
      <c r="F23" s="40" t="s">
        <v>126</v>
      </c>
      <c r="G23" s="40"/>
      <c r="H23" s="40"/>
      <c r="I23" s="40"/>
      <c r="J23" s="40"/>
    </row>
    <row r="24" ht="33.75" customHeight="1">
      <c r="A24" s="42" t="s">
        <v>127</v>
      </c>
      <c r="B24" s="42" t="s">
        <v>118</v>
      </c>
      <c r="C24" s="41" t="s">
        <v>128</v>
      </c>
      <c r="D24" s="41" t="s">
        <v>129</v>
      </c>
      <c r="E24" s="41" t="s">
        <v>130</v>
      </c>
      <c r="F24" s="41" t="s">
        <v>131</v>
      </c>
      <c r="G24" s="41"/>
      <c r="H24" s="41"/>
      <c r="I24" s="41"/>
      <c r="J24" s="41"/>
    </row>
    <row r="25" ht="33.75" customHeight="1">
      <c r="A25" s="42" t="s">
        <v>132</v>
      </c>
      <c r="B25" s="42" t="s">
        <v>118</v>
      </c>
      <c r="C25" s="40" t="s">
        <v>133</v>
      </c>
      <c r="D25" s="40" t="s">
        <v>134</v>
      </c>
      <c r="E25" s="40" t="s">
        <v>115</v>
      </c>
      <c r="F25" s="40" t="s">
        <v>135</v>
      </c>
      <c r="G25" s="40"/>
      <c r="H25" s="40"/>
      <c r="I25" s="40"/>
      <c r="J25" s="40"/>
    </row>
    <row r="26" ht="33.75" customHeight="1">
      <c r="A26" s="43" t="s">
        <v>136</v>
      </c>
      <c r="B26" s="43" t="s">
        <v>137</v>
      </c>
      <c r="C26" s="41" t="s">
        <v>138</v>
      </c>
      <c r="D26" s="41" t="s">
        <v>139</v>
      </c>
      <c r="E26" s="41" t="s">
        <v>49</v>
      </c>
      <c r="F26" s="41" t="s">
        <v>140</v>
      </c>
      <c r="G26" s="41"/>
      <c r="H26" s="41"/>
      <c r="I26" s="41"/>
      <c r="J26" s="41"/>
    </row>
    <row r="27" ht="33.75" customHeight="1">
      <c r="A27" s="43" t="s">
        <v>141</v>
      </c>
      <c r="B27" s="43" t="s">
        <v>137</v>
      </c>
      <c r="C27" s="40" t="s">
        <v>142</v>
      </c>
      <c r="D27" s="40" t="s">
        <v>143</v>
      </c>
      <c r="E27" s="40" t="s">
        <v>144</v>
      </c>
      <c r="F27" s="40" t="s">
        <v>145</v>
      </c>
      <c r="G27" s="40"/>
      <c r="H27" s="40"/>
      <c r="I27" s="40"/>
      <c r="J27" s="40"/>
    </row>
    <row r="28" ht="33.75" customHeight="1">
      <c r="A28" s="43" t="s">
        <v>146</v>
      </c>
      <c r="B28" s="43" t="s">
        <v>137</v>
      </c>
      <c r="C28" s="41" t="s">
        <v>147</v>
      </c>
      <c r="D28" s="41" t="s">
        <v>148</v>
      </c>
      <c r="E28" s="41" t="s">
        <v>149</v>
      </c>
      <c r="F28" s="41" t="s">
        <v>150</v>
      </c>
      <c r="G28" s="41"/>
      <c r="H28" s="41"/>
      <c r="I28" s="41"/>
      <c r="J28" s="41"/>
    </row>
    <row r="29" ht="33.75" customHeight="1">
      <c r="A29" s="44" t="s">
        <v>151</v>
      </c>
      <c r="B29" s="44" t="s">
        <v>152</v>
      </c>
      <c r="C29" s="40" t="s">
        <v>153</v>
      </c>
      <c r="D29" s="40" t="s">
        <v>154</v>
      </c>
      <c r="E29" s="40" t="s">
        <v>155</v>
      </c>
      <c r="F29" s="40" t="s">
        <v>156</v>
      </c>
      <c r="G29" s="40"/>
      <c r="H29" s="40"/>
      <c r="I29" s="40"/>
      <c r="J29" s="40"/>
    </row>
    <row r="30" ht="33.75" customHeight="1">
      <c r="A30" s="44" t="s">
        <v>157</v>
      </c>
      <c r="B30" s="44" t="s">
        <v>152</v>
      </c>
      <c r="C30" s="41" t="s">
        <v>158</v>
      </c>
      <c r="D30" s="41" t="s">
        <v>159</v>
      </c>
      <c r="E30" s="41" t="s">
        <v>160</v>
      </c>
      <c r="F30" s="41" t="s">
        <v>161</v>
      </c>
      <c r="G30" s="41"/>
      <c r="H30" s="41"/>
      <c r="I30" s="41"/>
      <c r="J30" s="41"/>
    </row>
    <row r="31" ht="33.75" customHeight="1">
      <c r="A31" s="44" t="s">
        <v>162</v>
      </c>
      <c r="B31" s="44" t="s">
        <v>152</v>
      </c>
      <c r="C31" s="40" t="s">
        <v>163</v>
      </c>
      <c r="D31" s="40" t="s">
        <v>164</v>
      </c>
      <c r="E31" s="40" t="s">
        <v>155</v>
      </c>
      <c r="F31" s="40" t="s">
        <v>165</v>
      </c>
      <c r="G31" s="40"/>
      <c r="H31" s="40"/>
      <c r="I31" s="40"/>
      <c r="J31" s="40"/>
    </row>
    <row r="32" ht="33.75" customHeight="1">
      <c r="A32" s="44" t="s">
        <v>166</v>
      </c>
      <c r="B32" s="44" t="s">
        <v>152</v>
      </c>
      <c r="C32" s="41" t="s">
        <v>167</v>
      </c>
      <c r="D32" s="41" t="s">
        <v>168</v>
      </c>
      <c r="E32" s="41" t="s">
        <v>155</v>
      </c>
      <c r="F32" s="41" t="s">
        <v>169</v>
      </c>
      <c r="G32" s="41"/>
      <c r="H32" s="41"/>
      <c r="I32" s="41"/>
      <c r="J32" s="41"/>
    </row>
    <row r="33" ht="33.75" customHeight="1">
      <c r="A33" s="45" t="s">
        <v>170</v>
      </c>
      <c r="B33" s="45" t="s">
        <v>171</v>
      </c>
      <c r="C33" s="40" t="s">
        <v>172</v>
      </c>
      <c r="D33" s="40" t="s">
        <v>173</v>
      </c>
      <c r="E33" s="40" t="s">
        <v>174</v>
      </c>
      <c r="F33" s="40" t="s">
        <v>175</v>
      </c>
      <c r="G33" s="40"/>
      <c r="H33" s="40"/>
      <c r="I33" s="40"/>
      <c r="J33" s="40"/>
    </row>
    <row r="34" ht="33.75" customHeight="1">
      <c r="A34" s="45" t="s">
        <v>176</v>
      </c>
      <c r="B34" s="45" t="s">
        <v>171</v>
      </c>
      <c r="C34" s="41" t="s">
        <v>177</v>
      </c>
      <c r="D34" s="41" t="s">
        <v>178</v>
      </c>
      <c r="E34" s="41" t="s">
        <v>179</v>
      </c>
      <c r="F34" s="41" t="s">
        <v>180</v>
      </c>
      <c r="G34" s="41"/>
      <c r="H34" s="41"/>
      <c r="I34" s="41"/>
      <c r="J34" s="41"/>
    </row>
    <row r="35" ht="33.75" customHeight="1">
      <c r="A35" s="45" t="s">
        <v>181</v>
      </c>
      <c r="B35" s="45" t="s">
        <v>171</v>
      </c>
      <c r="C35" s="40" t="s">
        <v>182</v>
      </c>
      <c r="D35" s="40" t="s">
        <v>183</v>
      </c>
      <c r="E35" s="40" t="s">
        <v>184</v>
      </c>
      <c r="F35" s="40" t="s">
        <v>185</v>
      </c>
      <c r="G35" s="40"/>
      <c r="H35" s="40"/>
      <c r="I35" s="40"/>
      <c r="J35" s="40"/>
    </row>
    <row r="36" ht="33.75" customHeight="1">
      <c r="A36" s="45" t="s">
        <v>186</v>
      </c>
      <c r="B36" s="45" t="s">
        <v>171</v>
      </c>
      <c r="C36" s="41" t="s">
        <v>187</v>
      </c>
      <c r="D36" s="41" t="s">
        <v>188</v>
      </c>
      <c r="E36" s="41" t="s">
        <v>189</v>
      </c>
      <c r="F36" s="41" t="s">
        <v>190</v>
      </c>
      <c r="G36" s="41"/>
      <c r="H36" s="41"/>
      <c r="I36" s="41"/>
      <c r="J36" s="41"/>
    </row>
    <row r="37" ht="33.75" customHeight="1">
      <c r="A37" s="45" t="s">
        <v>191</v>
      </c>
      <c r="B37" s="45" t="s">
        <v>171</v>
      </c>
      <c r="C37" s="40" t="s">
        <v>192</v>
      </c>
      <c r="D37" s="40" t="s">
        <v>193</v>
      </c>
      <c r="E37" s="40" t="s">
        <v>194</v>
      </c>
      <c r="F37" s="40" t="s">
        <v>195</v>
      </c>
      <c r="G37" s="40"/>
      <c r="H37" s="40"/>
      <c r="I37" s="40"/>
      <c r="J37" s="40"/>
    </row>
    <row r="38" ht="33.75" customHeight="1">
      <c r="A38" s="45" t="s">
        <v>196</v>
      </c>
      <c r="B38" s="45" t="s">
        <v>171</v>
      </c>
      <c r="C38" s="41" t="s">
        <v>197</v>
      </c>
      <c r="D38" s="41" t="s">
        <v>198</v>
      </c>
      <c r="E38" s="41" t="s">
        <v>174</v>
      </c>
      <c r="F38" s="41" t="s">
        <v>199</v>
      </c>
      <c r="G38" s="41"/>
      <c r="H38" s="41"/>
      <c r="I38" s="41"/>
      <c r="J38" s="41"/>
    </row>
    <row r="39" ht="33.75" customHeight="1">
      <c r="A39" s="45" t="s">
        <v>200</v>
      </c>
      <c r="B39" s="45" t="s">
        <v>171</v>
      </c>
      <c r="C39" s="40" t="s">
        <v>201</v>
      </c>
      <c r="D39" s="40" t="s">
        <v>202</v>
      </c>
      <c r="E39" s="40" t="s">
        <v>203</v>
      </c>
      <c r="F39" s="40" t="s">
        <v>204</v>
      </c>
      <c r="G39" s="40"/>
      <c r="H39" s="40"/>
      <c r="I39" s="40"/>
      <c r="J39" s="40"/>
    </row>
    <row r="40" ht="33.75" customHeight="1">
      <c r="A40" s="45" t="s">
        <v>205</v>
      </c>
      <c r="B40" s="45" t="s">
        <v>171</v>
      </c>
      <c r="C40" s="41" t="s">
        <v>206</v>
      </c>
      <c r="D40" s="41" t="s">
        <v>207</v>
      </c>
      <c r="E40" s="41" t="s">
        <v>194</v>
      </c>
      <c r="F40" s="41" t="s">
        <v>208</v>
      </c>
      <c r="G40" s="41"/>
      <c r="H40" s="41"/>
      <c r="I40" s="41"/>
      <c r="J40" s="41"/>
    </row>
    <row r="41" ht="15.75" customHeight="1">
      <c r="H41" s="46"/>
    </row>
    <row r="42" ht="15.75" customHeight="1">
      <c r="H42" s="46"/>
    </row>
    <row r="43" ht="15.75" customHeight="1">
      <c r="H43" s="46"/>
    </row>
    <row r="44" ht="15.75" customHeight="1">
      <c r="H44" s="46"/>
    </row>
    <row r="45" ht="15.75" customHeight="1">
      <c r="H45" s="46"/>
    </row>
    <row r="46" ht="15.75" customHeight="1">
      <c r="H46" s="46"/>
    </row>
    <row r="47" ht="15.75" customHeight="1">
      <c r="H47" s="46"/>
    </row>
    <row r="48" ht="15.75" customHeight="1">
      <c r="H48" s="46"/>
    </row>
    <row r="49" ht="15.75" customHeight="1">
      <c r="H49" s="46"/>
    </row>
    <row r="50" ht="15.75" customHeight="1">
      <c r="H50" s="46"/>
    </row>
    <row r="51" ht="15.75" customHeight="1">
      <c r="H51" s="46"/>
    </row>
    <row r="52" ht="15.75" customHeight="1">
      <c r="H52" s="46"/>
    </row>
    <row r="53" ht="15.75" customHeight="1">
      <c r="H53" s="46"/>
    </row>
    <row r="54" ht="15.75" customHeight="1">
      <c r="H54" s="46"/>
    </row>
    <row r="55" ht="15.75" customHeight="1">
      <c r="H55" s="46"/>
    </row>
    <row r="56" ht="15.75" customHeight="1">
      <c r="H56" s="46"/>
    </row>
    <row r="57" ht="15.75" customHeight="1">
      <c r="H57" s="46"/>
    </row>
    <row r="58" ht="15.75" customHeight="1">
      <c r="H58" s="46"/>
    </row>
    <row r="59" ht="15.75" customHeight="1">
      <c r="H59" s="46"/>
    </row>
    <row r="60" ht="15.75" customHeight="1">
      <c r="H60" s="46"/>
    </row>
    <row r="61" ht="15.75" customHeight="1">
      <c r="H61" s="46"/>
    </row>
    <row r="62" ht="15.75" customHeight="1">
      <c r="H62" s="46"/>
    </row>
    <row r="63" ht="15.75" customHeight="1">
      <c r="H63" s="46"/>
    </row>
    <row r="64" ht="15.75" customHeight="1">
      <c r="H64" s="46"/>
    </row>
    <row r="65" ht="15.75" customHeight="1">
      <c r="H65" s="46"/>
    </row>
    <row r="66" ht="15.75" customHeight="1">
      <c r="H66" s="46"/>
    </row>
    <row r="67" ht="15.75" customHeight="1">
      <c r="H67" s="46"/>
    </row>
    <row r="68" ht="15.75" customHeight="1">
      <c r="H68" s="46"/>
    </row>
    <row r="69" ht="15.75" customHeight="1">
      <c r="H69" s="46"/>
    </row>
    <row r="70" ht="15.75" customHeight="1">
      <c r="H70" s="46"/>
    </row>
    <row r="71" ht="15.75" customHeight="1">
      <c r="H71" s="46"/>
    </row>
    <row r="72" ht="15.75" customHeight="1">
      <c r="H72" s="46"/>
    </row>
    <row r="73" ht="15.75" customHeight="1">
      <c r="H73" s="46"/>
    </row>
    <row r="74" ht="15.75" customHeight="1">
      <c r="H74" s="46"/>
    </row>
    <row r="75" ht="15.75" customHeight="1">
      <c r="H75" s="46"/>
    </row>
    <row r="76" ht="15.75" customHeight="1">
      <c r="H76" s="46"/>
    </row>
    <row r="77" ht="15.75" customHeight="1">
      <c r="H77" s="46"/>
    </row>
    <row r="78" ht="15.75" customHeight="1">
      <c r="H78" s="46"/>
    </row>
    <row r="79" ht="15.75" customHeight="1">
      <c r="H79" s="46"/>
    </row>
    <row r="80" ht="15.75" customHeight="1">
      <c r="H80" s="46"/>
    </row>
    <row r="81" ht="15.75" customHeight="1">
      <c r="H81" s="46"/>
    </row>
    <row r="82" ht="15.75" customHeight="1">
      <c r="H82" s="46"/>
    </row>
    <row r="83" ht="15.75" customHeight="1">
      <c r="H83" s="46"/>
    </row>
    <row r="84" ht="15.75" customHeight="1">
      <c r="H84" s="46"/>
    </row>
    <row r="85" ht="15.75" customHeight="1">
      <c r="H85" s="46"/>
    </row>
    <row r="86" ht="15.75" customHeight="1">
      <c r="H86" s="46"/>
    </row>
    <row r="87" ht="15.75" customHeight="1">
      <c r="H87" s="46"/>
    </row>
    <row r="88" ht="15.75" customHeight="1">
      <c r="H88" s="46"/>
    </row>
    <row r="89" ht="15.75" customHeight="1">
      <c r="H89" s="46"/>
    </row>
    <row r="90" ht="15.75" customHeight="1">
      <c r="H90" s="46"/>
    </row>
    <row r="91" ht="15.75" customHeight="1">
      <c r="H91" s="46"/>
    </row>
    <row r="92" ht="15.75" customHeight="1">
      <c r="H92" s="46"/>
    </row>
    <row r="93" ht="15.75" customHeight="1">
      <c r="H93" s="46"/>
    </row>
    <row r="94" ht="15.75" customHeight="1">
      <c r="H94" s="46"/>
    </row>
    <row r="95" ht="15.75" customHeight="1">
      <c r="H95" s="46"/>
    </row>
    <row r="96" ht="15.75" customHeight="1">
      <c r="H96" s="46"/>
    </row>
    <row r="97" ht="15.75" customHeight="1">
      <c r="H97" s="46"/>
    </row>
    <row r="98" ht="15.75" customHeight="1">
      <c r="H98" s="46"/>
    </row>
    <row r="99" ht="15.75" customHeight="1">
      <c r="H99" s="46"/>
    </row>
    <row r="100" ht="15.75" customHeight="1">
      <c r="H100" s="4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H5:H1000">
    <cfRule type="cellIs" dxfId="0" priority="1" operator="equal">
      <formula>"Complete"</formula>
    </cfRule>
  </conditionalFormatting>
  <conditionalFormatting sqref="H5:H1000">
    <cfRule type="cellIs" dxfId="1" priority="2" operator="equal">
      <formula>"In Progress"</formula>
    </cfRule>
  </conditionalFormatting>
  <conditionalFormatting sqref="H5:H1000">
    <cfRule type="cellIs" dxfId="2" priority="3" operator="equal">
      <formula>"Not Started"</formula>
    </cfRule>
  </conditionalFormatting>
  <dataValidations>
    <dataValidation type="list" allowBlank="1" sqref="H5:H100">
      <formula1>"Not Started,In Progress,Complete,Blocked,N/A"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504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4.0"/>
    <col customWidth="1" min="4" max="4" width="30.0"/>
    <col customWidth="1" min="5" max="5" width="12.0"/>
    <col customWidth="1" min="6" max="6" width="13.0"/>
    <col customWidth="1" min="7" max="7" width="16.0"/>
    <col customWidth="1" min="8" max="8" width="14.0"/>
    <col customWidth="1" min="9" max="9" width="28.0"/>
    <col customWidth="1" min="10" max="26" width="8.71"/>
  </cols>
  <sheetData>
    <row r="1" ht="36.0" customHeight="1">
      <c r="A1" s="36" t="s">
        <v>209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37" t="s">
        <v>210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36.0" customHeight="1">
      <c r="A4" s="47" t="s">
        <v>26</v>
      </c>
      <c r="B4" s="47" t="s">
        <v>27</v>
      </c>
      <c r="C4" s="47" t="s">
        <v>28</v>
      </c>
      <c r="D4" s="47" t="s">
        <v>211</v>
      </c>
      <c r="E4" s="47" t="s">
        <v>212</v>
      </c>
      <c r="F4" s="47" t="s">
        <v>213</v>
      </c>
      <c r="G4" s="47" t="s">
        <v>214</v>
      </c>
      <c r="H4" s="47" t="s">
        <v>215</v>
      </c>
      <c r="I4" s="47" t="s">
        <v>216</v>
      </c>
    </row>
    <row r="5" ht="36.0" customHeight="1">
      <c r="A5" s="39" t="s">
        <v>60</v>
      </c>
      <c r="B5" s="39" t="s">
        <v>36</v>
      </c>
      <c r="C5" s="40" t="s">
        <v>61</v>
      </c>
      <c r="D5" s="40" t="s">
        <v>217</v>
      </c>
      <c r="E5" s="40" t="s">
        <v>218</v>
      </c>
      <c r="F5" s="40"/>
      <c r="G5" s="40"/>
      <c r="H5" s="40"/>
      <c r="I5" s="40"/>
    </row>
    <row r="6" ht="36.0" customHeight="1">
      <c r="A6" s="39" t="s">
        <v>65</v>
      </c>
      <c r="B6" s="39" t="s">
        <v>36</v>
      </c>
      <c r="C6" s="41" t="s">
        <v>219</v>
      </c>
      <c r="D6" s="41" t="s">
        <v>220</v>
      </c>
      <c r="E6" s="41" t="s">
        <v>221</v>
      </c>
      <c r="F6" s="41"/>
      <c r="G6" s="41"/>
      <c r="H6" s="41"/>
      <c r="I6" s="41"/>
    </row>
    <row r="7" ht="36.0" customHeight="1">
      <c r="A7" s="39" t="s">
        <v>70</v>
      </c>
      <c r="B7" s="39" t="s">
        <v>36</v>
      </c>
      <c r="C7" s="40" t="s">
        <v>71</v>
      </c>
      <c r="D7" s="40" t="s">
        <v>222</v>
      </c>
      <c r="E7" s="40" t="s">
        <v>223</v>
      </c>
      <c r="F7" s="40"/>
      <c r="G7" s="40"/>
      <c r="H7" s="40"/>
      <c r="I7" s="40"/>
    </row>
    <row r="8" ht="36.0" customHeight="1">
      <c r="A8" s="39" t="s">
        <v>75</v>
      </c>
      <c r="B8" s="39" t="s">
        <v>36</v>
      </c>
      <c r="C8" s="41" t="s">
        <v>224</v>
      </c>
      <c r="D8" s="41" t="s">
        <v>225</v>
      </c>
      <c r="E8" s="41" t="s">
        <v>226</v>
      </c>
      <c r="F8" s="41"/>
      <c r="G8" s="41"/>
      <c r="H8" s="41"/>
      <c r="I8" s="41"/>
    </row>
    <row r="9" ht="36.0" customHeight="1">
      <c r="A9" s="39" t="s">
        <v>80</v>
      </c>
      <c r="B9" s="39" t="s">
        <v>36</v>
      </c>
      <c r="C9" s="40" t="s">
        <v>81</v>
      </c>
      <c r="D9" s="40" t="s">
        <v>227</v>
      </c>
      <c r="E9" s="40" t="s">
        <v>228</v>
      </c>
      <c r="F9" s="40"/>
      <c r="G9" s="40"/>
      <c r="H9" s="40"/>
      <c r="I9" s="40"/>
    </row>
    <row r="10" ht="36.0" customHeight="1">
      <c r="A10" s="39" t="s">
        <v>85</v>
      </c>
      <c r="B10" s="39" t="s">
        <v>36</v>
      </c>
      <c r="C10" s="41" t="s">
        <v>86</v>
      </c>
      <c r="D10" s="41" t="s">
        <v>229</v>
      </c>
      <c r="E10" s="41" t="s">
        <v>226</v>
      </c>
      <c r="F10" s="41"/>
      <c r="G10" s="41"/>
      <c r="H10" s="41"/>
      <c r="I10" s="41"/>
    </row>
    <row r="11" ht="36.0" customHeight="1">
      <c r="A11" s="39" t="s">
        <v>89</v>
      </c>
      <c r="B11" s="39" t="s">
        <v>36</v>
      </c>
      <c r="C11" s="40" t="s">
        <v>230</v>
      </c>
      <c r="D11" s="40" t="s">
        <v>231</v>
      </c>
      <c r="E11" s="40" t="s">
        <v>232</v>
      </c>
      <c r="F11" s="40"/>
      <c r="G11" s="40"/>
      <c r="H11" s="40"/>
      <c r="I11" s="40"/>
    </row>
    <row r="12" ht="36.0" customHeight="1">
      <c r="A12" s="39" t="s">
        <v>93</v>
      </c>
      <c r="B12" s="39" t="s">
        <v>36</v>
      </c>
      <c r="C12" s="41" t="s">
        <v>94</v>
      </c>
      <c r="D12" s="41" t="s">
        <v>233</v>
      </c>
      <c r="E12" s="41" t="s">
        <v>234</v>
      </c>
      <c r="F12" s="41"/>
      <c r="G12" s="41"/>
      <c r="H12" s="41"/>
      <c r="I12" s="41"/>
    </row>
    <row r="13" ht="36.0" customHeight="1">
      <c r="A13" s="39" t="s">
        <v>102</v>
      </c>
      <c r="B13" s="39" t="s">
        <v>36</v>
      </c>
      <c r="C13" s="40" t="s">
        <v>103</v>
      </c>
      <c r="D13" s="40" t="s">
        <v>235</v>
      </c>
      <c r="E13" s="40" t="s">
        <v>236</v>
      </c>
      <c r="F13" s="40"/>
      <c r="G13" s="40"/>
      <c r="H13" s="40"/>
      <c r="I13" s="40"/>
    </row>
    <row r="14" ht="36.0" customHeight="1">
      <c r="A14" s="39" t="s">
        <v>107</v>
      </c>
      <c r="B14" s="39" t="s">
        <v>36</v>
      </c>
      <c r="C14" s="41" t="s">
        <v>108</v>
      </c>
      <c r="D14" s="41" t="s">
        <v>237</v>
      </c>
      <c r="E14" s="41" t="s">
        <v>238</v>
      </c>
      <c r="F14" s="41"/>
      <c r="G14" s="41"/>
      <c r="H14" s="41"/>
      <c r="I14" s="41"/>
    </row>
    <row r="15" ht="36.0" customHeight="1">
      <c r="A15" s="39" t="s">
        <v>46</v>
      </c>
      <c r="B15" s="39" t="s">
        <v>36</v>
      </c>
      <c r="C15" s="40" t="s">
        <v>239</v>
      </c>
      <c r="D15" s="40" t="s">
        <v>240</v>
      </c>
      <c r="E15" s="40" t="s">
        <v>241</v>
      </c>
      <c r="F15" s="40"/>
      <c r="G15" s="40"/>
      <c r="H15" s="40"/>
      <c r="I15" s="40"/>
    </row>
    <row r="16" ht="36.0" customHeight="1">
      <c r="A16" s="39" t="s">
        <v>56</v>
      </c>
      <c r="B16" s="39" t="s">
        <v>36</v>
      </c>
      <c r="C16" s="41" t="s">
        <v>242</v>
      </c>
      <c r="D16" s="41" t="s">
        <v>243</v>
      </c>
      <c r="E16" s="41" t="s">
        <v>244</v>
      </c>
      <c r="F16" s="41"/>
      <c r="G16" s="41"/>
      <c r="H16" s="41"/>
      <c r="I16" s="41"/>
    </row>
    <row r="17" ht="36.0" customHeight="1">
      <c r="A17" s="42" t="s">
        <v>123</v>
      </c>
      <c r="B17" s="42" t="s">
        <v>118</v>
      </c>
      <c r="C17" s="40" t="s">
        <v>124</v>
      </c>
      <c r="D17" s="40" t="s">
        <v>245</v>
      </c>
      <c r="E17" s="40" t="s">
        <v>246</v>
      </c>
      <c r="F17" s="40"/>
      <c r="G17" s="40"/>
      <c r="H17" s="40"/>
      <c r="I17" s="40"/>
    </row>
    <row r="18" ht="36.0" customHeight="1">
      <c r="A18" s="42" t="s">
        <v>127</v>
      </c>
      <c r="B18" s="42" t="s">
        <v>118</v>
      </c>
      <c r="C18" s="41" t="s">
        <v>128</v>
      </c>
      <c r="D18" s="41" t="s">
        <v>247</v>
      </c>
      <c r="E18" s="41" t="s">
        <v>248</v>
      </c>
      <c r="F18" s="41"/>
      <c r="G18" s="41"/>
      <c r="H18" s="41"/>
      <c r="I18" s="41"/>
    </row>
    <row r="19" ht="36.0" customHeight="1">
      <c r="A19" s="39" t="s">
        <v>112</v>
      </c>
      <c r="B19" s="39" t="s">
        <v>36</v>
      </c>
      <c r="C19" s="40" t="s">
        <v>113</v>
      </c>
      <c r="D19" s="40" t="s">
        <v>249</v>
      </c>
      <c r="E19" s="40" t="s">
        <v>250</v>
      </c>
      <c r="F19" s="40"/>
      <c r="G19" s="40"/>
      <c r="H19" s="40"/>
      <c r="I19" s="40"/>
    </row>
    <row r="20">
      <c r="H20" s="46"/>
    </row>
    <row r="21" ht="15.75" customHeight="1">
      <c r="H21" s="46"/>
    </row>
    <row r="22" ht="15.75" customHeight="1">
      <c r="H22" s="46"/>
    </row>
    <row r="23" ht="15.75" customHeight="1">
      <c r="H23" s="46"/>
    </row>
    <row r="24" ht="15.75" customHeight="1">
      <c r="H24" s="46"/>
    </row>
    <row r="25" ht="15.75" customHeight="1">
      <c r="H25" s="46"/>
    </row>
    <row r="26" ht="15.75" customHeight="1">
      <c r="H26" s="46"/>
    </row>
    <row r="27" ht="15.75" customHeight="1">
      <c r="H27" s="46"/>
    </row>
    <row r="28" ht="15.75" customHeight="1">
      <c r="H28" s="46"/>
    </row>
    <row r="29" ht="15.75" customHeight="1">
      <c r="H29" s="46"/>
    </row>
    <row r="30" ht="15.75" customHeight="1">
      <c r="H30" s="46"/>
    </row>
    <row r="31" ht="15.75" customHeight="1">
      <c r="H31" s="46"/>
    </row>
    <row r="32" ht="15.75" customHeight="1">
      <c r="H32" s="46"/>
    </row>
    <row r="33" ht="15.75" customHeight="1">
      <c r="H33" s="46"/>
    </row>
    <row r="34" ht="15.75" customHeight="1">
      <c r="H34" s="46"/>
    </row>
    <row r="35" ht="15.75" customHeight="1">
      <c r="H35" s="46"/>
    </row>
    <row r="36" ht="15.75" customHeight="1">
      <c r="H36" s="46"/>
    </row>
    <row r="37" ht="15.75" customHeight="1">
      <c r="H37" s="46"/>
    </row>
    <row r="38" ht="15.75" customHeight="1">
      <c r="H38" s="46"/>
    </row>
    <row r="39" ht="15.75" customHeight="1">
      <c r="H39" s="46"/>
    </row>
    <row r="40" ht="15.75" customHeight="1">
      <c r="H40" s="46"/>
    </row>
    <row r="41" ht="15.75" customHeight="1">
      <c r="H41" s="46"/>
    </row>
    <row r="42" ht="15.75" customHeight="1">
      <c r="H42" s="46"/>
    </row>
    <row r="43" ht="15.75" customHeight="1">
      <c r="H43" s="46"/>
    </row>
    <row r="44" ht="15.75" customHeight="1">
      <c r="H44" s="46"/>
    </row>
    <row r="45" ht="15.75" customHeight="1">
      <c r="H45" s="46"/>
    </row>
    <row r="46" ht="15.75" customHeight="1">
      <c r="H46" s="46"/>
    </row>
    <row r="47" ht="15.75" customHeight="1">
      <c r="H47" s="46"/>
    </row>
    <row r="48" ht="15.75" customHeight="1">
      <c r="H48" s="46"/>
    </row>
    <row r="49" ht="15.75" customHeight="1">
      <c r="H49" s="46"/>
    </row>
    <row r="50" ht="15.75" customHeight="1">
      <c r="H50" s="46"/>
    </row>
    <row r="51" ht="15.75" customHeight="1">
      <c r="H51" s="46"/>
    </row>
    <row r="52" ht="15.75" customHeight="1">
      <c r="H52" s="46"/>
    </row>
    <row r="53" ht="15.75" customHeight="1">
      <c r="H53" s="46"/>
    </row>
    <row r="54" ht="15.75" customHeight="1">
      <c r="H54" s="46"/>
    </row>
    <row r="55" ht="15.75" customHeight="1">
      <c r="H55" s="46"/>
    </row>
    <row r="56" ht="15.75" customHeight="1">
      <c r="H56" s="46"/>
    </row>
    <row r="57" ht="15.75" customHeight="1">
      <c r="H57" s="46"/>
    </row>
    <row r="58" ht="15.75" customHeight="1">
      <c r="H58" s="46"/>
    </row>
    <row r="59" ht="15.75" customHeight="1">
      <c r="H59" s="46"/>
    </row>
    <row r="60" ht="15.75" customHeight="1">
      <c r="H60" s="46"/>
    </row>
    <row r="61" ht="15.75" customHeight="1">
      <c r="H61" s="46"/>
    </row>
    <row r="62" ht="15.75" customHeight="1">
      <c r="H62" s="46"/>
    </row>
    <row r="63" ht="15.75" customHeight="1">
      <c r="H63" s="46"/>
    </row>
    <row r="64" ht="15.75" customHeight="1">
      <c r="H64" s="46"/>
    </row>
    <row r="65" ht="15.75" customHeight="1">
      <c r="H65" s="46"/>
    </row>
    <row r="66" ht="15.75" customHeight="1">
      <c r="H66" s="46"/>
    </row>
    <row r="67" ht="15.75" customHeight="1">
      <c r="H67" s="46"/>
    </row>
    <row r="68" ht="15.75" customHeight="1">
      <c r="H68" s="46"/>
    </row>
    <row r="69" ht="15.75" customHeight="1">
      <c r="H69" s="46"/>
    </row>
    <row r="70" ht="15.75" customHeight="1">
      <c r="H70" s="46"/>
    </row>
    <row r="71" ht="15.75" customHeight="1">
      <c r="H71" s="46"/>
    </row>
    <row r="72" ht="15.75" customHeight="1">
      <c r="H72" s="46"/>
    </row>
    <row r="73" ht="15.75" customHeight="1">
      <c r="H73" s="46"/>
    </row>
    <row r="74" ht="15.75" customHeight="1">
      <c r="H74" s="46"/>
    </row>
    <row r="75" ht="15.75" customHeight="1">
      <c r="H75" s="46"/>
    </row>
    <row r="76" ht="15.75" customHeight="1">
      <c r="H76" s="46"/>
    </row>
    <row r="77" ht="15.75" customHeight="1">
      <c r="H77" s="46"/>
    </row>
    <row r="78" ht="15.75" customHeight="1">
      <c r="H78" s="46"/>
    </row>
    <row r="79" ht="15.75" customHeight="1">
      <c r="H79" s="46"/>
    </row>
    <row r="80" ht="15.75" customHeight="1">
      <c r="H80" s="46"/>
    </row>
    <row r="81" ht="15.75" customHeight="1">
      <c r="H81" s="46"/>
    </row>
    <row r="82" ht="15.75" customHeight="1">
      <c r="H82" s="46"/>
    </row>
    <row r="83" ht="15.75" customHeight="1">
      <c r="H83" s="46"/>
    </row>
    <row r="84" ht="15.75" customHeight="1">
      <c r="H84" s="46"/>
    </row>
    <row r="85" ht="15.75" customHeight="1">
      <c r="H85" s="46"/>
    </row>
    <row r="86" ht="15.75" customHeight="1">
      <c r="H86" s="46"/>
    </row>
    <row r="87" ht="15.75" customHeight="1">
      <c r="H87" s="46"/>
    </row>
    <row r="88" ht="15.75" customHeight="1">
      <c r="H88" s="46"/>
    </row>
    <row r="89" ht="15.75" customHeight="1">
      <c r="H89" s="46"/>
    </row>
    <row r="90" ht="15.75" customHeight="1">
      <c r="H90" s="46"/>
    </row>
    <row r="91" ht="15.75" customHeight="1">
      <c r="H91" s="46"/>
    </row>
    <row r="92" ht="15.75" customHeight="1">
      <c r="H92" s="46"/>
    </row>
    <row r="93" ht="15.75" customHeight="1">
      <c r="H93" s="46"/>
    </row>
    <row r="94" ht="15.75" customHeight="1">
      <c r="H94" s="46"/>
    </row>
    <row r="95" ht="15.75" customHeight="1">
      <c r="H95" s="46"/>
    </row>
    <row r="96" ht="15.75" customHeight="1">
      <c r="H96" s="46"/>
    </row>
    <row r="97" ht="15.75" customHeight="1">
      <c r="H97" s="46"/>
    </row>
    <row r="98" ht="15.75" customHeight="1">
      <c r="H98" s="46"/>
    </row>
    <row r="99" ht="15.75" customHeight="1">
      <c r="H99" s="46"/>
    </row>
    <row r="100" ht="15.75" customHeight="1">
      <c r="H100" s="4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H5:H1000">
    <cfRule type="cellIs" dxfId="0" priority="1" operator="equal">
      <formula>"Pass"</formula>
    </cfRule>
  </conditionalFormatting>
  <conditionalFormatting sqref="H5:H1000">
    <cfRule type="cellIs" dxfId="2" priority="2" operator="equal">
      <formula>"Fail"</formula>
    </cfRule>
  </conditionalFormatting>
  <conditionalFormatting sqref="H5:H1000">
    <cfRule type="cellIs" dxfId="1" priority="3" operator="equal">
      <formula>"Exception"</formula>
    </cfRule>
  </conditionalFormatting>
  <dataValidations>
    <dataValidation type="list" allowBlank="1" sqref="H5:H100">
      <formula1>"Pass,Fail,Exception,N/A"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2D2D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4.0"/>
    <col customWidth="1" min="4" max="5" width="28.0"/>
    <col customWidth="1" min="6" max="7" width="18.0"/>
    <col customWidth="1" min="8" max="8" width="13.0"/>
    <col customWidth="1" min="9" max="26" width="8.71"/>
  </cols>
  <sheetData>
    <row r="1" ht="36.0" customHeight="1">
      <c r="A1" s="36" t="s">
        <v>251</v>
      </c>
      <c r="B1" s="2"/>
      <c r="C1" s="2"/>
      <c r="D1" s="2"/>
      <c r="E1" s="2"/>
      <c r="F1" s="2"/>
      <c r="G1" s="2"/>
      <c r="H1" s="3"/>
    </row>
    <row r="2" ht="19.5" customHeight="1">
      <c r="A2" s="37" t="s">
        <v>252</v>
      </c>
      <c r="B2" s="2"/>
      <c r="C2" s="2"/>
      <c r="D2" s="2"/>
      <c r="E2" s="2"/>
      <c r="F2" s="2"/>
      <c r="G2" s="2"/>
      <c r="H2" s="3"/>
    </row>
    <row r="3" ht="6.0" customHeight="1"/>
    <row r="4" ht="36.0" customHeight="1">
      <c r="A4" s="48" t="s">
        <v>26</v>
      </c>
      <c r="B4" s="48" t="s">
        <v>27</v>
      </c>
      <c r="C4" s="48" t="s">
        <v>253</v>
      </c>
      <c r="D4" s="48" t="s">
        <v>254</v>
      </c>
      <c r="E4" s="48" t="s">
        <v>255</v>
      </c>
      <c r="F4" s="48" t="s">
        <v>256</v>
      </c>
      <c r="G4" s="48" t="s">
        <v>257</v>
      </c>
      <c r="H4" s="48" t="s">
        <v>258</v>
      </c>
    </row>
    <row r="5" ht="39.75" customHeight="1">
      <c r="A5" s="39" t="s">
        <v>65</v>
      </c>
      <c r="B5" s="39" t="s">
        <v>36</v>
      </c>
      <c r="C5" s="40" t="s">
        <v>259</v>
      </c>
      <c r="D5" s="40" t="s">
        <v>260</v>
      </c>
      <c r="E5" s="40" t="s">
        <v>261</v>
      </c>
      <c r="F5" s="49" t="s">
        <v>262</v>
      </c>
      <c r="G5" s="40" t="s">
        <v>68</v>
      </c>
      <c r="H5" s="40"/>
    </row>
    <row r="6" ht="39.75" customHeight="1">
      <c r="A6" s="39" t="s">
        <v>70</v>
      </c>
      <c r="B6" s="39" t="s">
        <v>36</v>
      </c>
      <c r="C6" s="41" t="s">
        <v>263</v>
      </c>
      <c r="D6" s="41" t="s">
        <v>264</v>
      </c>
      <c r="E6" s="41" t="s">
        <v>265</v>
      </c>
      <c r="F6" s="49" t="s">
        <v>262</v>
      </c>
      <c r="G6" s="41" t="s">
        <v>73</v>
      </c>
      <c r="H6" s="41"/>
    </row>
    <row r="7" ht="39.75" customHeight="1">
      <c r="A7" s="39" t="s">
        <v>80</v>
      </c>
      <c r="B7" s="39" t="s">
        <v>36</v>
      </c>
      <c r="C7" s="40" t="s">
        <v>266</v>
      </c>
      <c r="D7" s="40" t="s">
        <v>267</v>
      </c>
      <c r="E7" s="40" t="s">
        <v>268</v>
      </c>
      <c r="F7" s="49" t="s">
        <v>262</v>
      </c>
      <c r="G7" s="40" t="s">
        <v>83</v>
      </c>
      <c r="H7" s="40"/>
    </row>
    <row r="8" ht="39.75" customHeight="1">
      <c r="A8" s="39" t="s">
        <v>93</v>
      </c>
      <c r="B8" s="39" t="s">
        <v>36</v>
      </c>
      <c r="C8" s="41" t="s">
        <v>269</v>
      </c>
      <c r="D8" s="41" t="s">
        <v>270</v>
      </c>
      <c r="E8" s="41" t="s">
        <v>271</v>
      </c>
      <c r="F8" s="44" t="s">
        <v>272</v>
      </c>
      <c r="G8" s="41" t="s">
        <v>49</v>
      </c>
      <c r="H8" s="41"/>
    </row>
    <row r="9" ht="39.75" customHeight="1">
      <c r="A9" s="39" t="s">
        <v>102</v>
      </c>
      <c r="B9" s="39" t="s">
        <v>36</v>
      </c>
      <c r="C9" s="40" t="s">
        <v>273</v>
      </c>
      <c r="D9" s="40" t="s">
        <v>274</v>
      </c>
      <c r="E9" s="40" t="s">
        <v>275</v>
      </c>
      <c r="F9" s="44" t="s">
        <v>272</v>
      </c>
      <c r="G9" s="40" t="s">
        <v>105</v>
      </c>
      <c r="H9" s="40"/>
    </row>
    <row r="10" ht="39.75" customHeight="1">
      <c r="A10" s="39" t="s">
        <v>107</v>
      </c>
      <c r="B10" s="39" t="s">
        <v>36</v>
      </c>
      <c r="C10" s="41" t="s">
        <v>276</v>
      </c>
      <c r="D10" s="41" t="s">
        <v>277</v>
      </c>
      <c r="E10" s="41" t="s">
        <v>278</v>
      </c>
      <c r="F10" s="44" t="s">
        <v>272</v>
      </c>
      <c r="G10" s="41" t="s">
        <v>110</v>
      </c>
      <c r="H10" s="41"/>
    </row>
    <row r="11" ht="39.75" customHeight="1">
      <c r="A11" s="39" t="s">
        <v>56</v>
      </c>
      <c r="B11" s="39" t="s">
        <v>36</v>
      </c>
      <c r="C11" s="40" t="s">
        <v>279</v>
      </c>
      <c r="D11" s="40" t="s">
        <v>280</v>
      </c>
      <c r="E11" s="40" t="s">
        <v>281</v>
      </c>
      <c r="F11" s="44" t="s">
        <v>272</v>
      </c>
      <c r="G11" s="40" t="s">
        <v>49</v>
      </c>
      <c r="H11" s="40"/>
    </row>
    <row r="12" ht="39.75" customHeight="1">
      <c r="A12" s="42" t="s">
        <v>127</v>
      </c>
      <c r="B12" s="42" t="s">
        <v>118</v>
      </c>
      <c r="C12" s="41" t="s">
        <v>282</v>
      </c>
      <c r="D12" s="41" t="s">
        <v>283</v>
      </c>
      <c r="E12" s="41" t="s">
        <v>284</v>
      </c>
      <c r="F12" s="49" t="s">
        <v>262</v>
      </c>
      <c r="G12" s="41" t="s">
        <v>130</v>
      </c>
      <c r="H12" s="41"/>
    </row>
    <row r="13" ht="39.75" customHeight="1">
      <c r="A13" s="39" t="s">
        <v>46</v>
      </c>
      <c r="B13" s="39" t="s">
        <v>36</v>
      </c>
      <c r="C13" s="40" t="s">
        <v>285</v>
      </c>
      <c r="D13" s="40" t="s">
        <v>286</v>
      </c>
      <c r="E13" s="40" t="s">
        <v>287</v>
      </c>
      <c r="F13" s="44" t="s">
        <v>272</v>
      </c>
      <c r="G13" s="40" t="s">
        <v>49</v>
      </c>
      <c r="H13" s="40"/>
    </row>
    <row r="14" ht="39.75" customHeight="1">
      <c r="A14" s="45" t="s">
        <v>170</v>
      </c>
      <c r="B14" s="45" t="s">
        <v>171</v>
      </c>
      <c r="C14" s="41" t="s">
        <v>288</v>
      </c>
      <c r="D14" s="41" t="s">
        <v>289</v>
      </c>
      <c r="E14" s="41" t="s">
        <v>290</v>
      </c>
      <c r="F14" s="49" t="s">
        <v>262</v>
      </c>
      <c r="G14" s="41" t="s">
        <v>174</v>
      </c>
      <c r="H14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6D11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36.0"/>
    <col customWidth="1" min="4" max="4" width="18.0"/>
    <col customWidth="1" min="5" max="5" width="14.0"/>
    <col customWidth="1" min="6" max="6" width="20.0"/>
    <col customWidth="1" min="7" max="26" width="8.71"/>
  </cols>
  <sheetData>
    <row r="1" ht="36.0" customHeight="1">
      <c r="A1" s="36" t="s">
        <v>291</v>
      </c>
      <c r="B1" s="2"/>
      <c r="C1" s="2"/>
      <c r="D1" s="2"/>
      <c r="E1" s="2"/>
      <c r="F1" s="3"/>
    </row>
    <row r="2" ht="19.5" customHeight="1">
      <c r="A2" s="37" t="s">
        <v>292</v>
      </c>
      <c r="B2" s="2"/>
      <c r="C2" s="2"/>
      <c r="D2" s="2"/>
      <c r="E2" s="2"/>
      <c r="F2" s="3"/>
    </row>
    <row r="3" ht="6.0" customHeight="1"/>
    <row r="4" ht="7.5" customHeight="1"/>
    <row r="5" ht="25.5" customHeight="1">
      <c r="A5" s="50" t="s">
        <v>293</v>
      </c>
      <c r="B5" s="30"/>
      <c r="C5" s="30"/>
      <c r="D5" s="30"/>
      <c r="E5" s="30"/>
      <c r="F5" s="31"/>
    </row>
    <row r="6" ht="21.75" customHeight="1">
      <c r="A6" s="51" t="s">
        <v>294</v>
      </c>
      <c r="B6" s="51" t="s">
        <v>295</v>
      </c>
      <c r="C6" s="51" t="s">
        <v>296</v>
      </c>
      <c r="D6" s="51" t="s">
        <v>297</v>
      </c>
      <c r="E6" s="51" t="s">
        <v>298</v>
      </c>
      <c r="F6" s="51" t="s">
        <v>299</v>
      </c>
    </row>
    <row r="7" ht="27.75" customHeight="1">
      <c r="A7" s="52">
        <v>1.0</v>
      </c>
      <c r="B7" s="40" t="s">
        <v>300</v>
      </c>
      <c r="C7" s="40" t="s">
        <v>301</v>
      </c>
      <c r="D7" s="40" t="s">
        <v>49</v>
      </c>
      <c r="E7" s="40"/>
      <c r="F7" s="40"/>
    </row>
    <row r="8" ht="27.75" customHeight="1">
      <c r="A8" s="53">
        <v>2.0</v>
      </c>
      <c r="B8" s="41" t="s">
        <v>302</v>
      </c>
      <c r="C8" s="41" t="s">
        <v>303</v>
      </c>
      <c r="D8" s="41" t="s">
        <v>49</v>
      </c>
      <c r="E8" s="41"/>
      <c r="F8" s="41"/>
    </row>
    <row r="9" ht="27.75" customHeight="1">
      <c r="A9" s="52">
        <v>3.0</v>
      </c>
      <c r="B9" s="40" t="s">
        <v>304</v>
      </c>
      <c r="C9" s="40" t="s">
        <v>305</v>
      </c>
      <c r="D9" s="40" t="s">
        <v>39</v>
      </c>
      <c r="E9" s="40"/>
      <c r="F9" s="40"/>
    </row>
    <row r="10" ht="27.75" customHeight="1">
      <c r="A10" s="53">
        <v>4.0</v>
      </c>
      <c r="B10" s="41" t="s">
        <v>306</v>
      </c>
      <c r="C10" s="41" t="s">
        <v>307</v>
      </c>
      <c r="D10" s="41" t="s">
        <v>49</v>
      </c>
      <c r="E10" s="41"/>
      <c r="F10" s="41"/>
    </row>
    <row r="11" ht="27.75" customHeight="1">
      <c r="A11" s="52">
        <v>5.0</v>
      </c>
      <c r="B11" s="40" t="s">
        <v>308</v>
      </c>
      <c r="C11" s="40" t="s">
        <v>309</v>
      </c>
      <c r="D11" s="40" t="s">
        <v>49</v>
      </c>
      <c r="E11" s="40"/>
      <c r="F11" s="40"/>
    </row>
    <row r="12" ht="27.75" customHeight="1">
      <c r="A12" s="53">
        <v>6.0</v>
      </c>
      <c r="B12" s="41" t="s">
        <v>310</v>
      </c>
      <c r="C12" s="41" t="s">
        <v>311</v>
      </c>
      <c r="D12" s="41" t="s">
        <v>49</v>
      </c>
      <c r="E12" s="41"/>
      <c r="F12" s="41"/>
    </row>
    <row r="13" ht="7.5" customHeight="1"/>
    <row r="14" ht="25.5" customHeight="1">
      <c r="A14" s="54" t="s">
        <v>312</v>
      </c>
      <c r="B14" s="30"/>
      <c r="C14" s="30"/>
      <c r="D14" s="30"/>
      <c r="E14" s="30"/>
      <c r="F14" s="31"/>
    </row>
    <row r="15" ht="21.75" customHeight="1">
      <c r="A15" s="51" t="s">
        <v>294</v>
      </c>
      <c r="B15" s="51" t="s">
        <v>295</v>
      </c>
      <c r="C15" s="51" t="s">
        <v>296</v>
      </c>
      <c r="D15" s="51" t="s">
        <v>297</v>
      </c>
      <c r="E15" s="51" t="s">
        <v>298</v>
      </c>
      <c r="F15" s="51" t="s">
        <v>299</v>
      </c>
    </row>
    <row r="16" ht="27.75" customHeight="1">
      <c r="A16" s="52">
        <v>1.0</v>
      </c>
      <c r="B16" s="40" t="s">
        <v>313</v>
      </c>
      <c r="C16" s="40" t="s">
        <v>314</v>
      </c>
      <c r="D16" s="40" t="s">
        <v>315</v>
      </c>
      <c r="E16" s="40"/>
      <c r="F16" s="40"/>
    </row>
    <row r="17" ht="27.75" customHeight="1">
      <c r="A17" s="53">
        <v>2.0</v>
      </c>
      <c r="B17" s="41" t="s">
        <v>316</v>
      </c>
      <c r="C17" s="41" t="s">
        <v>317</v>
      </c>
      <c r="D17" s="41" t="s">
        <v>318</v>
      </c>
      <c r="E17" s="41"/>
      <c r="F17" s="41"/>
    </row>
    <row r="18" ht="27.75" customHeight="1">
      <c r="A18" s="52">
        <v>3.0</v>
      </c>
      <c r="B18" s="40" t="s">
        <v>319</v>
      </c>
      <c r="C18" s="40" t="s">
        <v>320</v>
      </c>
      <c r="D18" s="40" t="s">
        <v>49</v>
      </c>
      <c r="E18" s="40"/>
      <c r="F18" s="40"/>
    </row>
    <row r="19" ht="27.75" customHeight="1">
      <c r="A19" s="53">
        <v>4.0</v>
      </c>
      <c r="B19" s="41" t="s">
        <v>321</v>
      </c>
      <c r="C19" s="41" t="s">
        <v>322</v>
      </c>
      <c r="D19" s="41" t="s">
        <v>49</v>
      </c>
      <c r="E19" s="41"/>
      <c r="F19" s="41"/>
    </row>
    <row r="20" ht="27.75" customHeight="1">
      <c r="A20" s="52">
        <v>5.0</v>
      </c>
      <c r="B20" s="40" t="s">
        <v>323</v>
      </c>
      <c r="C20" s="40" t="s">
        <v>324</v>
      </c>
      <c r="D20" s="40" t="s">
        <v>130</v>
      </c>
      <c r="E20" s="40"/>
      <c r="F20" s="40"/>
    </row>
    <row r="21" ht="27.75" customHeight="1">
      <c r="A21" s="53">
        <v>6.0</v>
      </c>
      <c r="B21" s="41" t="s">
        <v>325</v>
      </c>
      <c r="C21" s="41" t="s">
        <v>326</v>
      </c>
      <c r="D21" s="41" t="s">
        <v>63</v>
      </c>
      <c r="E21" s="41"/>
      <c r="F21" s="41"/>
    </row>
    <row r="22" ht="27.75" customHeight="1">
      <c r="A22" s="52">
        <v>7.0</v>
      </c>
      <c r="B22" s="40" t="s">
        <v>327</v>
      </c>
      <c r="C22" s="40" t="s">
        <v>328</v>
      </c>
      <c r="D22" s="40" t="s">
        <v>83</v>
      </c>
      <c r="E22" s="40"/>
      <c r="F22" s="40"/>
    </row>
    <row r="23" ht="27.75" customHeight="1">
      <c r="A23" s="53">
        <v>8.0</v>
      </c>
      <c r="B23" s="41" t="s">
        <v>329</v>
      </c>
      <c r="C23" s="41" t="s">
        <v>330</v>
      </c>
      <c r="D23" s="41" t="s">
        <v>39</v>
      </c>
      <c r="E23" s="41"/>
      <c r="F23" s="41"/>
    </row>
    <row r="24" ht="7.5" customHeight="1"/>
    <row r="25" ht="25.5" customHeight="1">
      <c r="A25" s="50" t="s">
        <v>331</v>
      </c>
      <c r="B25" s="30"/>
      <c r="C25" s="30"/>
      <c r="D25" s="30"/>
      <c r="E25" s="30"/>
      <c r="F25" s="31"/>
    </row>
    <row r="26" ht="21.75" customHeight="1">
      <c r="A26" s="51" t="s">
        <v>294</v>
      </c>
      <c r="B26" s="51" t="s">
        <v>295</v>
      </c>
      <c r="C26" s="51" t="s">
        <v>296</v>
      </c>
      <c r="D26" s="51" t="s">
        <v>297</v>
      </c>
      <c r="E26" s="51" t="s">
        <v>298</v>
      </c>
      <c r="F26" s="51" t="s">
        <v>299</v>
      </c>
    </row>
    <row r="27" ht="27.75" customHeight="1">
      <c r="A27" s="52">
        <v>1.0</v>
      </c>
      <c r="B27" s="40" t="s">
        <v>332</v>
      </c>
      <c r="C27" s="40" t="s">
        <v>333</v>
      </c>
      <c r="D27" s="40" t="s">
        <v>39</v>
      </c>
      <c r="E27" s="40"/>
      <c r="F27" s="40"/>
    </row>
    <row r="28" ht="27.75" customHeight="1">
      <c r="A28" s="53">
        <v>2.0</v>
      </c>
      <c r="B28" s="41" t="s">
        <v>334</v>
      </c>
      <c r="C28" s="41" t="s">
        <v>335</v>
      </c>
      <c r="D28" s="41" t="s">
        <v>49</v>
      </c>
      <c r="E28" s="41"/>
      <c r="F28" s="41"/>
    </row>
    <row r="29" ht="27.75" customHeight="1">
      <c r="A29" s="52">
        <v>3.0</v>
      </c>
      <c r="B29" s="40" t="s">
        <v>336</v>
      </c>
      <c r="C29" s="40" t="s">
        <v>337</v>
      </c>
      <c r="D29" s="40" t="s">
        <v>49</v>
      </c>
      <c r="E29" s="40"/>
      <c r="F29" s="40"/>
    </row>
    <row r="30" ht="27.75" customHeight="1">
      <c r="A30" s="53">
        <v>4.0</v>
      </c>
      <c r="B30" s="41" t="s">
        <v>338</v>
      </c>
      <c r="C30" s="41" t="s">
        <v>339</v>
      </c>
      <c r="D30" s="41" t="s">
        <v>49</v>
      </c>
      <c r="E30" s="41"/>
      <c r="F30" s="41"/>
    </row>
    <row r="31" ht="27.75" customHeight="1">
      <c r="A31" s="52">
        <v>5.0</v>
      </c>
      <c r="B31" s="40" t="s">
        <v>340</v>
      </c>
      <c r="C31" s="40" t="s">
        <v>341</v>
      </c>
      <c r="D31" s="40" t="s">
        <v>49</v>
      </c>
      <c r="E31" s="40"/>
      <c r="F31" s="40"/>
    </row>
    <row r="32" ht="7.5" customHeight="1"/>
    <row r="33" ht="25.5" customHeight="1">
      <c r="A33" s="50" t="s">
        <v>342</v>
      </c>
      <c r="B33" s="30"/>
      <c r="C33" s="30"/>
      <c r="D33" s="30"/>
      <c r="E33" s="30"/>
      <c r="F33" s="31"/>
    </row>
    <row r="34" ht="21.75" customHeight="1">
      <c r="A34" s="51" t="s">
        <v>294</v>
      </c>
      <c r="B34" s="51" t="s">
        <v>295</v>
      </c>
      <c r="C34" s="51" t="s">
        <v>296</v>
      </c>
      <c r="D34" s="51" t="s">
        <v>297</v>
      </c>
      <c r="E34" s="51" t="s">
        <v>298</v>
      </c>
      <c r="F34" s="51" t="s">
        <v>299</v>
      </c>
    </row>
    <row r="35" ht="27.75" customHeight="1">
      <c r="A35" s="52">
        <v>1.0</v>
      </c>
      <c r="B35" s="40" t="s">
        <v>343</v>
      </c>
      <c r="C35" s="40" t="s">
        <v>344</v>
      </c>
      <c r="D35" s="40" t="s">
        <v>315</v>
      </c>
      <c r="E35" s="40"/>
      <c r="F35" s="40"/>
    </row>
    <row r="36" ht="27.75" customHeight="1">
      <c r="A36" s="53">
        <v>2.0</v>
      </c>
      <c r="B36" s="41" t="s">
        <v>345</v>
      </c>
      <c r="C36" s="41" t="s">
        <v>346</v>
      </c>
      <c r="D36" s="41" t="s">
        <v>49</v>
      </c>
      <c r="E36" s="41"/>
      <c r="F36" s="41"/>
    </row>
    <row r="37" ht="27.75" customHeight="1">
      <c r="A37" s="52">
        <v>3.0</v>
      </c>
      <c r="B37" s="40" t="s">
        <v>347</v>
      </c>
      <c r="C37" s="40" t="s">
        <v>348</v>
      </c>
      <c r="D37" s="40" t="s">
        <v>39</v>
      </c>
      <c r="E37" s="40"/>
      <c r="F37" s="40"/>
    </row>
    <row r="38" ht="27.75" customHeight="1">
      <c r="A38" s="53">
        <v>4.0</v>
      </c>
      <c r="B38" s="41" t="s">
        <v>349</v>
      </c>
      <c r="C38" s="41" t="s">
        <v>350</v>
      </c>
      <c r="D38" s="41" t="s">
        <v>315</v>
      </c>
      <c r="E38" s="41"/>
      <c r="F38" s="41"/>
    </row>
    <row r="39" ht="27.75" customHeight="1">
      <c r="A39" s="52">
        <v>5.0</v>
      </c>
      <c r="B39" s="40" t="s">
        <v>351</v>
      </c>
      <c r="C39" s="40" t="s">
        <v>352</v>
      </c>
      <c r="D39" s="40" t="s">
        <v>49</v>
      </c>
      <c r="E39" s="40"/>
      <c r="F39" s="40"/>
    </row>
    <row r="40" ht="7.5" customHeight="1"/>
    <row r="41" ht="25.5" customHeight="1">
      <c r="A41" s="50" t="s">
        <v>353</v>
      </c>
      <c r="B41" s="30"/>
      <c r="C41" s="30"/>
      <c r="D41" s="30"/>
      <c r="E41" s="30"/>
      <c r="F41" s="31"/>
    </row>
    <row r="42" ht="21.75" customHeight="1">
      <c r="A42" s="51" t="s">
        <v>294</v>
      </c>
      <c r="B42" s="51" t="s">
        <v>295</v>
      </c>
      <c r="C42" s="51" t="s">
        <v>296</v>
      </c>
      <c r="D42" s="51" t="s">
        <v>297</v>
      </c>
      <c r="E42" s="51" t="s">
        <v>298</v>
      </c>
      <c r="F42" s="51" t="s">
        <v>299</v>
      </c>
    </row>
    <row r="43" ht="27.75" customHeight="1">
      <c r="A43" s="52">
        <v>1.0</v>
      </c>
      <c r="B43" s="40" t="s">
        <v>354</v>
      </c>
      <c r="C43" s="40" t="s">
        <v>355</v>
      </c>
      <c r="D43" s="40" t="s">
        <v>39</v>
      </c>
      <c r="E43" s="40"/>
      <c r="F43" s="40"/>
    </row>
    <row r="44" ht="27.75" customHeight="1">
      <c r="A44" s="53">
        <v>2.0</v>
      </c>
      <c r="B44" s="41" t="s">
        <v>329</v>
      </c>
      <c r="C44" s="41" t="s">
        <v>356</v>
      </c>
      <c r="D44" s="41" t="s">
        <v>49</v>
      </c>
      <c r="E44" s="41"/>
      <c r="F44" s="41"/>
    </row>
    <row r="45" ht="27.75" customHeight="1">
      <c r="A45" s="52">
        <v>3.0</v>
      </c>
      <c r="B45" s="40" t="s">
        <v>357</v>
      </c>
      <c r="C45" s="40" t="s">
        <v>358</v>
      </c>
      <c r="D45" s="40" t="s">
        <v>49</v>
      </c>
      <c r="E45" s="40"/>
      <c r="F45" s="40"/>
    </row>
    <row r="46" ht="27.75" customHeight="1">
      <c r="A46" s="53">
        <v>4.0</v>
      </c>
      <c r="B46" s="41" t="s">
        <v>359</v>
      </c>
      <c r="C46" s="41" t="s">
        <v>360</v>
      </c>
      <c r="D46" s="41" t="s">
        <v>49</v>
      </c>
      <c r="E46" s="41"/>
      <c r="F46" s="41"/>
    </row>
    <row r="47" ht="27.75" customHeight="1">
      <c r="A47" s="52">
        <v>5.0</v>
      </c>
      <c r="B47" s="40" t="s">
        <v>361</v>
      </c>
      <c r="C47" s="40" t="s">
        <v>362</v>
      </c>
      <c r="D47" s="40" t="s">
        <v>363</v>
      </c>
      <c r="E47" s="40"/>
      <c r="F47" s="40"/>
    </row>
    <row r="48" ht="27.75" customHeight="1">
      <c r="A48" s="53">
        <v>6.0</v>
      </c>
      <c r="B48" s="41" t="s">
        <v>364</v>
      </c>
      <c r="C48" s="41" t="s">
        <v>365</v>
      </c>
      <c r="D48" s="41" t="s">
        <v>49</v>
      </c>
      <c r="E48" s="41"/>
      <c r="F48" s="4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5:F5"/>
    <mergeCell ref="A14:F14"/>
    <mergeCell ref="A25:F25"/>
    <mergeCell ref="A33:F33"/>
    <mergeCell ref="A41:F4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4F0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6.0"/>
    <col customWidth="1" min="4" max="5" width="16.0"/>
    <col customWidth="1" min="6" max="7" width="13.0"/>
    <col customWidth="1" min="8" max="8" width="28.0"/>
    <col customWidth="1" min="9" max="26" width="8.71"/>
  </cols>
  <sheetData>
    <row r="1" ht="36.0" customHeight="1">
      <c r="A1" s="55" t="s">
        <v>366</v>
      </c>
      <c r="B1" s="2"/>
      <c r="C1" s="2"/>
      <c r="D1" s="2"/>
      <c r="E1" s="2"/>
      <c r="F1" s="2"/>
      <c r="G1" s="2"/>
      <c r="H1" s="3"/>
    </row>
    <row r="2" ht="19.5" customHeight="1">
      <c r="A2" s="56" t="s">
        <v>367</v>
      </c>
      <c r="B2" s="2"/>
      <c r="C2" s="2"/>
      <c r="D2" s="2"/>
      <c r="E2" s="2"/>
      <c r="F2" s="2"/>
      <c r="G2" s="2"/>
      <c r="H2" s="3"/>
    </row>
    <row r="3" ht="6.0" customHeight="1"/>
    <row r="4" ht="36.0" customHeight="1">
      <c r="A4" s="48" t="s">
        <v>368</v>
      </c>
      <c r="B4" s="48" t="s">
        <v>369</v>
      </c>
      <c r="C4" s="48" t="s">
        <v>370</v>
      </c>
      <c r="D4" s="48" t="s">
        <v>371</v>
      </c>
      <c r="E4" s="48" t="s">
        <v>372</v>
      </c>
      <c r="F4" s="48" t="s">
        <v>32</v>
      </c>
      <c r="G4" s="48" t="s">
        <v>8</v>
      </c>
      <c r="H4" s="48" t="s">
        <v>373</v>
      </c>
    </row>
    <row r="5" ht="27.75" customHeight="1">
      <c r="A5" s="57" t="s">
        <v>374</v>
      </c>
      <c r="B5" s="40"/>
      <c r="C5" s="40" t="s">
        <v>375</v>
      </c>
      <c r="D5" s="40" t="s">
        <v>60</v>
      </c>
      <c r="E5" s="40"/>
      <c r="F5" s="40"/>
      <c r="G5" s="40"/>
      <c r="H5" s="40"/>
    </row>
    <row r="6" ht="27.75" customHeight="1">
      <c r="A6" s="58" t="s">
        <v>376</v>
      </c>
      <c r="B6" s="41"/>
      <c r="C6" s="41" t="s">
        <v>377</v>
      </c>
      <c r="D6" s="41" t="s">
        <v>65</v>
      </c>
      <c r="E6" s="41"/>
      <c r="F6" s="41"/>
      <c r="G6" s="41"/>
      <c r="H6" s="41"/>
    </row>
    <row r="7" ht="27.75" customHeight="1">
      <c r="A7" s="57" t="s">
        <v>378</v>
      </c>
      <c r="B7" s="40"/>
      <c r="C7" s="40" t="s">
        <v>379</v>
      </c>
      <c r="D7" s="40" t="s">
        <v>70</v>
      </c>
      <c r="E7" s="40"/>
      <c r="F7" s="40"/>
      <c r="G7" s="40"/>
      <c r="H7" s="40"/>
    </row>
    <row r="8" ht="27.75" customHeight="1">
      <c r="A8" s="58" t="s">
        <v>380</v>
      </c>
      <c r="B8" s="41"/>
      <c r="C8" s="41" t="s">
        <v>381</v>
      </c>
      <c r="D8" s="41" t="s">
        <v>80</v>
      </c>
      <c r="E8" s="41"/>
      <c r="F8" s="41"/>
      <c r="G8" s="41"/>
      <c r="H8" s="41"/>
    </row>
    <row r="9" ht="27.75" customHeight="1">
      <c r="A9" s="57" t="s">
        <v>382</v>
      </c>
      <c r="B9" s="40"/>
      <c r="C9" s="40" t="s">
        <v>383</v>
      </c>
      <c r="D9" s="40" t="s">
        <v>85</v>
      </c>
      <c r="E9" s="40"/>
      <c r="F9" s="40"/>
      <c r="G9" s="40"/>
      <c r="H9" s="40"/>
    </row>
    <row r="10" ht="27.75" customHeight="1">
      <c r="A10" s="58" t="s">
        <v>384</v>
      </c>
      <c r="B10" s="41"/>
      <c r="C10" s="41" t="s">
        <v>385</v>
      </c>
      <c r="D10" s="41" t="s">
        <v>102</v>
      </c>
      <c r="E10" s="41"/>
      <c r="F10" s="41"/>
      <c r="G10" s="41"/>
      <c r="H10" s="41"/>
    </row>
    <row r="11" ht="27.75" customHeight="1">
      <c r="A11" s="57" t="s">
        <v>386</v>
      </c>
      <c r="B11" s="40"/>
      <c r="C11" s="40" t="s">
        <v>387</v>
      </c>
      <c r="D11" s="40" t="s">
        <v>93</v>
      </c>
      <c r="E11" s="40"/>
      <c r="F11" s="40"/>
      <c r="G11" s="40"/>
      <c r="H11" s="40"/>
    </row>
    <row r="12" ht="27.75" customHeight="1">
      <c r="A12" s="58" t="s">
        <v>388</v>
      </c>
      <c r="B12" s="41"/>
      <c r="C12" s="41" t="s">
        <v>389</v>
      </c>
      <c r="D12" s="41" t="s">
        <v>107</v>
      </c>
      <c r="E12" s="41"/>
      <c r="F12" s="41"/>
      <c r="G12" s="41"/>
      <c r="H12" s="41"/>
    </row>
    <row r="13" ht="27.75" customHeight="1">
      <c r="A13" s="57" t="s">
        <v>390</v>
      </c>
      <c r="B13" s="40"/>
      <c r="C13" s="40" t="s">
        <v>391</v>
      </c>
      <c r="D13" s="40" t="s">
        <v>127</v>
      </c>
      <c r="E13" s="40"/>
      <c r="F13" s="40"/>
      <c r="G13" s="40"/>
      <c r="H13" s="40"/>
    </row>
    <row r="14" ht="27.75" customHeight="1">
      <c r="A14" s="58" t="s">
        <v>392</v>
      </c>
      <c r="B14" s="41"/>
      <c r="C14" s="41" t="s">
        <v>393</v>
      </c>
      <c r="D14" s="41" t="s">
        <v>56</v>
      </c>
      <c r="E14" s="41"/>
      <c r="F14" s="41"/>
      <c r="G14" s="41"/>
      <c r="H14" s="41"/>
    </row>
    <row r="15">
      <c r="G15" s="46"/>
    </row>
    <row r="16">
      <c r="G16" s="46"/>
    </row>
    <row r="17">
      <c r="G17" s="46"/>
    </row>
    <row r="18">
      <c r="G18" s="46"/>
    </row>
    <row r="19">
      <c r="G19" s="46"/>
    </row>
    <row r="20">
      <c r="G20" s="46"/>
    </row>
    <row r="21" ht="15.75" customHeight="1">
      <c r="G21" s="46"/>
    </row>
    <row r="22" ht="15.75" customHeight="1">
      <c r="G22" s="46"/>
    </row>
    <row r="23" ht="15.75" customHeight="1">
      <c r="G23" s="46"/>
    </row>
    <row r="24" ht="15.75" customHeight="1">
      <c r="G24" s="46"/>
    </row>
    <row r="25" ht="15.75" customHeight="1">
      <c r="G25" s="46"/>
    </row>
    <row r="26" ht="15.75" customHeight="1">
      <c r="G26" s="46"/>
    </row>
    <row r="27" ht="15.75" customHeight="1">
      <c r="G27" s="46"/>
    </row>
    <row r="28" ht="15.75" customHeight="1">
      <c r="G28" s="46"/>
    </row>
    <row r="29" ht="15.75" customHeight="1">
      <c r="G29" s="46"/>
    </row>
    <row r="30" ht="15.75" customHeight="1">
      <c r="G30" s="46"/>
    </row>
    <row r="31" ht="15.75" customHeight="1">
      <c r="G31" s="46"/>
    </row>
    <row r="32" ht="15.75" customHeight="1">
      <c r="G32" s="46"/>
    </row>
    <row r="33" ht="15.75" customHeight="1">
      <c r="G33" s="46"/>
    </row>
    <row r="34" ht="15.75" customHeight="1">
      <c r="G34" s="46"/>
    </row>
    <row r="35" ht="15.75" customHeight="1">
      <c r="G35" s="46"/>
    </row>
    <row r="36" ht="15.75" customHeight="1">
      <c r="G36" s="46"/>
    </row>
    <row r="37" ht="15.75" customHeight="1">
      <c r="G37" s="46"/>
    </row>
    <row r="38" ht="15.75" customHeight="1">
      <c r="G38" s="46"/>
    </row>
    <row r="39" ht="15.75" customHeight="1">
      <c r="G39" s="46"/>
    </row>
    <row r="40" ht="15.75" customHeight="1">
      <c r="G40" s="46"/>
    </row>
    <row r="41" ht="15.75" customHeight="1">
      <c r="G41" s="46"/>
    </row>
    <row r="42" ht="15.75" customHeight="1">
      <c r="G42" s="46"/>
    </row>
    <row r="43" ht="15.75" customHeight="1">
      <c r="G43" s="46"/>
    </row>
    <row r="44" ht="15.75" customHeight="1">
      <c r="G44" s="46"/>
    </row>
    <row r="45" ht="15.75" customHeight="1">
      <c r="G45" s="46"/>
    </row>
    <row r="46" ht="15.75" customHeight="1">
      <c r="G46" s="46"/>
    </row>
    <row r="47" ht="15.75" customHeight="1">
      <c r="G47" s="46"/>
    </row>
    <row r="48" ht="15.75" customHeight="1">
      <c r="G48" s="46"/>
    </row>
    <row r="49" ht="15.75" customHeight="1">
      <c r="G49" s="46"/>
    </row>
    <row r="50" ht="15.75" customHeight="1">
      <c r="G50" s="46"/>
    </row>
    <row r="51" ht="15.75" customHeight="1">
      <c r="G51" s="46"/>
    </row>
    <row r="52" ht="15.75" customHeight="1">
      <c r="G52" s="46"/>
    </row>
    <row r="53" ht="15.75" customHeight="1">
      <c r="G53" s="46"/>
    </row>
    <row r="54" ht="15.75" customHeight="1">
      <c r="G54" s="46"/>
    </row>
    <row r="55" ht="15.75" customHeight="1">
      <c r="G55" s="46"/>
    </row>
    <row r="56" ht="15.75" customHeight="1">
      <c r="G56" s="46"/>
    </row>
    <row r="57" ht="15.75" customHeight="1">
      <c r="G57" s="46"/>
    </row>
    <row r="58" ht="15.75" customHeight="1">
      <c r="G58" s="46"/>
    </row>
    <row r="59" ht="15.75" customHeight="1">
      <c r="G59" s="46"/>
    </row>
    <row r="60" ht="15.75" customHeight="1">
      <c r="G60" s="46"/>
    </row>
    <row r="61" ht="15.75" customHeight="1">
      <c r="G61" s="46"/>
    </row>
    <row r="62" ht="15.75" customHeight="1">
      <c r="G62" s="46"/>
    </row>
    <row r="63" ht="15.75" customHeight="1">
      <c r="G63" s="46"/>
    </row>
    <row r="64" ht="15.75" customHeight="1">
      <c r="G64" s="46"/>
    </row>
    <row r="65" ht="15.75" customHeight="1">
      <c r="G65" s="46"/>
    </row>
    <row r="66" ht="15.75" customHeight="1">
      <c r="G66" s="46"/>
    </row>
    <row r="67" ht="15.75" customHeight="1">
      <c r="G67" s="46"/>
    </row>
    <row r="68" ht="15.75" customHeight="1">
      <c r="G68" s="46"/>
    </row>
    <row r="69" ht="15.75" customHeight="1">
      <c r="G69" s="46"/>
    </row>
    <row r="70" ht="15.75" customHeight="1">
      <c r="G70" s="46"/>
    </row>
    <row r="71" ht="15.75" customHeight="1">
      <c r="G71" s="46"/>
    </row>
    <row r="72" ht="15.75" customHeight="1">
      <c r="G72" s="46"/>
    </row>
    <row r="73" ht="15.75" customHeight="1">
      <c r="G73" s="46"/>
    </row>
    <row r="74" ht="15.75" customHeight="1">
      <c r="G74" s="46"/>
    </row>
    <row r="75" ht="15.75" customHeight="1">
      <c r="G75" s="46"/>
    </row>
    <row r="76" ht="15.75" customHeight="1">
      <c r="G76" s="46"/>
    </row>
    <row r="77" ht="15.75" customHeight="1">
      <c r="G77" s="46"/>
    </row>
    <row r="78" ht="15.75" customHeight="1">
      <c r="G78" s="46"/>
    </row>
    <row r="79" ht="15.75" customHeight="1">
      <c r="G79" s="46"/>
    </row>
    <row r="80" ht="15.75" customHeight="1">
      <c r="G80" s="46"/>
    </row>
    <row r="81" ht="15.75" customHeight="1">
      <c r="G81" s="46"/>
    </row>
    <row r="82" ht="15.75" customHeight="1">
      <c r="G82" s="46"/>
    </row>
    <row r="83" ht="15.75" customHeight="1">
      <c r="G83" s="46"/>
    </row>
    <row r="84" ht="15.75" customHeight="1">
      <c r="G84" s="46"/>
    </row>
    <row r="85" ht="15.75" customHeight="1">
      <c r="G85" s="46"/>
    </row>
    <row r="86" ht="15.75" customHeight="1">
      <c r="G86" s="46"/>
    </row>
    <row r="87" ht="15.75" customHeight="1">
      <c r="G87" s="46"/>
    </row>
    <row r="88" ht="15.75" customHeight="1">
      <c r="G88" s="46"/>
    </row>
    <row r="89" ht="15.75" customHeight="1">
      <c r="G89" s="46"/>
    </row>
    <row r="90" ht="15.75" customHeight="1">
      <c r="G90" s="46"/>
    </row>
    <row r="91" ht="15.75" customHeight="1">
      <c r="G91" s="46"/>
    </row>
    <row r="92" ht="15.75" customHeight="1">
      <c r="G92" s="46"/>
    </row>
    <row r="93" ht="15.75" customHeight="1">
      <c r="G93" s="46"/>
    </row>
    <row r="94" ht="15.75" customHeight="1">
      <c r="G94" s="46"/>
    </row>
    <row r="95" ht="15.75" customHeight="1">
      <c r="G95" s="46"/>
    </row>
    <row r="96" ht="15.75" customHeight="1">
      <c r="G96" s="46"/>
    </row>
    <row r="97" ht="15.75" customHeight="1">
      <c r="G97" s="46"/>
    </row>
    <row r="98" ht="15.75" customHeight="1">
      <c r="G98" s="46"/>
    </row>
    <row r="99" ht="15.75" customHeight="1">
      <c r="G99" s="46"/>
    </row>
    <row r="100" ht="15.75" customHeight="1">
      <c r="G100" s="4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G5:G1000">
    <cfRule type="cellIs" dxfId="0" priority="1" operator="equal">
      <formula>"Accepted"</formula>
    </cfRule>
  </conditionalFormatting>
  <conditionalFormatting sqref="G5:G1000">
    <cfRule type="cellIs" dxfId="2" priority="2" operator="equal">
      <formula>"Open"</formula>
    </cfRule>
  </conditionalFormatting>
  <conditionalFormatting sqref="G5:G1000">
    <cfRule type="cellIs" dxfId="1" priority="3" operator="equal">
      <formula>"In Progress"</formula>
    </cfRule>
  </conditionalFormatting>
  <dataValidations>
    <dataValidation type="list" allowBlank="1" sqref="G5:G100">
      <formula1>"Open,In Progress,Submitted,Accepted,Rejected"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2026-04-03T12:24:14Z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